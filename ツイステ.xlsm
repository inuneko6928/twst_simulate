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defaultThemeVersion="166925"/>
  <mc:AlternateContent xmlns:mc="http://schemas.openxmlformats.org/markup-compatibility/2006">
    <mc:Choice Requires="x15">
      <x15ac:absPath xmlns:x15ac="http://schemas.microsoft.com/office/spreadsheetml/2010/11/ac" url="/Users/nakamuraryo/Desktop/ツイステ/"/>
    </mc:Choice>
  </mc:AlternateContent>
  <xr:revisionPtr revIDLastSave="0" documentId="13_ncr:1_{EDBEBAD1-2B3F-8947-9BFC-9AEC33FC08AB}" xr6:coauthVersionLast="45" xr6:coauthVersionMax="45" xr10:uidLastSave="{00000000-0000-0000-0000-000000000000}"/>
  <bookViews>
    <workbookView xWindow="0" yWindow="460" windowWidth="28460" windowHeight="16420" activeTab="2" xr2:uid="{FB830EDF-61D4-AE47-8E5D-3F9BF16F663C}"/>
  </bookViews>
  <sheets>
    <sheet name="使い方" sheetId="6" r:id="rId1"/>
    <sheet name="シミュレータ" sheetId="3" r:id="rId2"/>
    <sheet name="カード一覧" sheetId="1" r:id="rId3"/>
    <sheet name="MAGIC詳細" sheetId="7" r:id="rId4"/>
    <sheet name="魔法一覧" sheetId="2" r:id="rId5"/>
    <sheet name="キャラ・カード名一覧" sheetId="8" r:id="rId6"/>
    <sheet name="シミュレータ (保護)" sheetId="5" r:id="rId7"/>
  </sheets>
  <functionGroups builtInGroupCount="19"/>
  <definedNames>
    <definedName name="_xlnm._FilterDatabase" localSheetId="3" hidden="1">MAGIC詳細!$A$2:$N$116</definedName>
    <definedName name="_xlnm._FilterDatabase" localSheetId="2" hidden="1">カード一覧!$A$1:$N$144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42" i="3" l="1"/>
  <c r="AA42" i="3"/>
  <c r="W42" i="3"/>
  <c r="U42" i="3"/>
  <c r="Q42" i="3"/>
  <c r="O42" i="3"/>
  <c r="K42" i="3"/>
  <c r="I42" i="3"/>
  <c r="E42" i="3"/>
  <c r="C42" i="3"/>
  <c r="AC40" i="3"/>
  <c r="AA40" i="3"/>
  <c r="W40" i="3"/>
  <c r="U40" i="3"/>
  <c r="Q40" i="3"/>
  <c r="O40" i="3"/>
  <c r="K40" i="3"/>
  <c r="I40" i="3"/>
  <c r="E40" i="3"/>
  <c r="C40" i="3"/>
  <c r="AC37" i="3"/>
  <c r="AA37" i="3"/>
  <c r="W37" i="3"/>
  <c r="U37" i="3"/>
  <c r="Q37" i="3"/>
  <c r="O37" i="3"/>
  <c r="K37" i="3"/>
  <c r="I37" i="3"/>
  <c r="E37" i="3"/>
  <c r="C37" i="3"/>
  <c r="AC16" i="3"/>
  <c r="AC30" i="3" s="1"/>
  <c r="AA16" i="3"/>
  <c r="AA30" i="3" s="1"/>
  <c r="AA20" i="3" s="1"/>
  <c r="AA39" i="3" s="1"/>
  <c r="W16" i="3"/>
  <c r="W30" i="3" s="1"/>
  <c r="U16" i="3"/>
  <c r="U30" i="3" s="1"/>
  <c r="Q16" i="3"/>
  <c r="Q30" i="3" s="1"/>
  <c r="O16" i="3"/>
  <c r="O30" i="3" s="1"/>
  <c r="O20" i="3" s="1"/>
  <c r="O39" i="3" s="1"/>
  <c r="K16" i="3"/>
  <c r="K30" i="3" s="1"/>
  <c r="I16" i="3"/>
  <c r="I30" i="3" s="1"/>
  <c r="E16" i="3"/>
  <c r="E30" i="3" s="1"/>
  <c r="C16" i="3"/>
  <c r="C30" i="3" s="1"/>
  <c r="C20" i="3" s="1"/>
  <c r="C39" i="3" s="1"/>
  <c r="AC14" i="3"/>
  <c r="AC18" i="3" s="1"/>
  <c r="AC38" i="3" s="1"/>
  <c r="AA14" i="3"/>
  <c r="AA18" i="3" s="1"/>
  <c r="AA38" i="3" s="1"/>
  <c r="U14" i="3"/>
  <c r="U18" i="3" s="1"/>
  <c r="U38" i="3" s="1"/>
  <c r="O14" i="3"/>
  <c r="O18" i="3" s="1"/>
  <c r="O38" i="3" s="1"/>
  <c r="AC13" i="3"/>
  <c r="AB13" i="3"/>
  <c r="AC34" i="3" s="1"/>
  <c r="AA13" i="3"/>
  <c r="W13" i="3"/>
  <c r="V13" i="3"/>
  <c r="W34" i="3" s="1"/>
  <c r="U13" i="3"/>
  <c r="Q13" i="3"/>
  <c r="P13" i="3"/>
  <c r="Q34" i="3" s="1"/>
  <c r="O13" i="3"/>
  <c r="K13" i="3"/>
  <c r="J13" i="3"/>
  <c r="K34" i="3" s="1"/>
  <c r="I13" i="3"/>
  <c r="E13" i="3"/>
  <c r="D13" i="3"/>
  <c r="E34" i="3" s="1"/>
  <c r="C13" i="3"/>
  <c r="AC12" i="3"/>
  <c r="AB12" i="3"/>
  <c r="AC33" i="3" s="1"/>
  <c r="AA12" i="3"/>
  <c r="W12" i="3"/>
  <c r="V12" i="3"/>
  <c r="W33" i="3" s="1"/>
  <c r="U12" i="3"/>
  <c r="Q12" i="3"/>
  <c r="P12" i="3"/>
  <c r="Q33" i="3" s="1"/>
  <c r="O12" i="3"/>
  <c r="K12" i="3"/>
  <c r="J12" i="3"/>
  <c r="K33" i="3" s="1"/>
  <c r="I12" i="3"/>
  <c r="E12" i="3"/>
  <c r="D12" i="3"/>
  <c r="E33" i="3" s="1"/>
  <c r="C12" i="3"/>
  <c r="AA11" i="3"/>
  <c r="U11" i="3"/>
  <c r="O11" i="3"/>
  <c r="I11" i="3"/>
  <c r="C11" i="3"/>
  <c r="AC8" i="3"/>
  <c r="AB8" i="3"/>
  <c r="AA32" i="3" s="1"/>
  <c r="AA8" i="3"/>
  <c r="W8" i="3"/>
  <c r="V8" i="3"/>
  <c r="U32" i="3" s="1"/>
  <c r="U8" i="3"/>
  <c r="Q8" i="3"/>
  <c r="P8" i="3"/>
  <c r="O32" i="3" s="1"/>
  <c r="O8" i="3"/>
  <c r="K8" i="3"/>
  <c r="J8" i="3"/>
  <c r="I32" i="3" s="1"/>
  <c r="I8" i="3"/>
  <c r="E8" i="3"/>
  <c r="D8" i="3"/>
  <c r="C32" i="3" s="1"/>
  <c r="C8" i="3"/>
  <c r="AC7" i="3"/>
  <c r="AB7" i="3"/>
  <c r="AA31" i="3" s="1"/>
  <c r="AA7" i="3"/>
  <c r="W7" i="3"/>
  <c r="V7" i="3"/>
  <c r="U31" i="3" s="1"/>
  <c r="U7" i="3"/>
  <c r="Q7" i="3"/>
  <c r="P7" i="3"/>
  <c r="O31" i="3" s="1"/>
  <c r="O7" i="3"/>
  <c r="K7" i="3"/>
  <c r="J7" i="3"/>
  <c r="I31" i="3" s="1"/>
  <c r="I7" i="3"/>
  <c r="E7" i="3"/>
  <c r="D7" i="3"/>
  <c r="C31" i="3" s="1"/>
  <c r="C7" i="3"/>
  <c r="AA6" i="3"/>
  <c r="U6" i="3"/>
  <c r="O6" i="3"/>
  <c r="I6" i="3"/>
  <c r="C6" i="3"/>
  <c r="AC42" i="5"/>
  <c r="AA42" i="5"/>
  <c r="W42" i="5"/>
  <c r="U42" i="5"/>
  <c r="Q42" i="5"/>
  <c r="O42" i="5"/>
  <c r="K42" i="5"/>
  <c r="I42" i="5"/>
  <c r="E42" i="5"/>
  <c r="C42" i="5"/>
  <c r="C14" i="3" l="1"/>
  <c r="C18" i="3" s="1"/>
  <c r="C38" i="3" s="1"/>
  <c r="I14" i="3"/>
  <c r="I18" i="3" s="1"/>
  <c r="I38" i="3" s="1"/>
  <c r="E14" i="3"/>
  <c r="E18" i="3" s="1"/>
  <c r="E38" i="3" s="1"/>
  <c r="Q14" i="3"/>
  <c r="Q18" i="3" s="1"/>
  <c r="Q38" i="3" s="1"/>
  <c r="C17" i="3"/>
  <c r="C36" i="3" s="1"/>
  <c r="AA17" i="3"/>
  <c r="AA36" i="3" s="1"/>
  <c r="C33" i="3"/>
  <c r="C25" i="3"/>
  <c r="AA25" i="3"/>
  <c r="C15" i="3"/>
  <c r="AA15" i="3"/>
  <c r="AA33" i="3"/>
  <c r="K14" i="3"/>
  <c r="W14" i="3"/>
  <c r="O17" i="3"/>
  <c r="O36" i="3" s="1"/>
  <c r="U34" i="3"/>
  <c r="O15" i="3"/>
  <c r="I25" i="3"/>
  <c r="U25" i="3"/>
  <c r="I22" i="3"/>
  <c r="I41" i="3" s="1"/>
  <c r="I20" i="3"/>
  <c r="I39" i="3" s="1"/>
  <c r="U22" i="3"/>
  <c r="U41" i="3" s="1"/>
  <c r="U20" i="3"/>
  <c r="U39" i="3" s="1"/>
  <c r="K20" i="3"/>
  <c r="K39" i="3" s="1"/>
  <c r="K22" i="3"/>
  <c r="K41" i="3" s="1"/>
  <c r="W20" i="3"/>
  <c r="W39" i="3" s="1"/>
  <c r="W22" i="3"/>
  <c r="W41" i="3" s="1"/>
  <c r="O25" i="3"/>
  <c r="E22" i="3"/>
  <c r="E41" i="3" s="1"/>
  <c r="E20" i="3"/>
  <c r="E39" i="3" s="1"/>
  <c r="Q22" i="3"/>
  <c r="Q41" i="3" s="1"/>
  <c r="Q20" i="3"/>
  <c r="Q39" i="3" s="1"/>
  <c r="AC22" i="3"/>
  <c r="AC41" i="3" s="1"/>
  <c r="AC20" i="3"/>
  <c r="AC39" i="3" s="1"/>
  <c r="E15" i="3"/>
  <c r="Q15" i="3"/>
  <c r="AC15" i="3"/>
  <c r="E17" i="3"/>
  <c r="E36" i="3" s="1"/>
  <c r="Q17" i="3"/>
  <c r="Q36" i="3" s="1"/>
  <c r="AC17" i="3"/>
  <c r="AC36" i="3" s="1"/>
  <c r="I33" i="3"/>
  <c r="U33" i="3"/>
  <c r="C34" i="3"/>
  <c r="O34" i="3"/>
  <c r="AA34" i="3"/>
  <c r="I15" i="3"/>
  <c r="U15" i="3"/>
  <c r="I17" i="3"/>
  <c r="I36" i="3" s="1"/>
  <c r="U17" i="3"/>
  <c r="U36" i="3" s="1"/>
  <c r="C22" i="3"/>
  <c r="C41" i="3" s="1"/>
  <c r="C26" i="3" s="1"/>
  <c r="O22" i="3"/>
  <c r="O41" i="3" s="1"/>
  <c r="AA22" i="3"/>
  <c r="AA41" i="3" s="1"/>
  <c r="O33" i="3"/>
  <c r="I34" i="3"/>
  <c r="I26" i="3" s="1"/>
  <c r="AC16" i="5"/>
  <c r="AA16" i="5"/>
  <c r="W16" i="5"/>
  <c r="U16" i="5"/>
  <c r="Q16" i="5"/>
  <c r="O16" i="5"/>
  <c r="K16" i="5"/>
  <c r="I16" i="5"/>
  <c r="AC13" i="5"/>
  <c r="AC12" i="5"/>
  <c r="W13" i="5"/>
  <c r="W12" i="5"/>
  <c r="Q13" i="5"/>
  <c r="Q12" i="5"/>
  <c r="K13" i="5"/>
  <c r="K12" i="5"/>
  <c r="AC8" i="5"/>
  <c r="AC7" i="5"/>
  <c r="W8" i="5"/>
  <c r="W7" i="5"/>
  <c r="Q8" i="5"/>
  <c r="Q7" i="5"/>
  <c r="K7" i="5"/>
  <c r="K8" i="5"/>
  <c r="E16" i="5"/>
  <c r="C16" i="5"/>
  <c r="E13" i="5"/>
  <c r="E12" i="5"/>
  <c r="E8" i="5"/>
  <c r="E7" i="5"/>
  <c r="U26" i="3" l="1"/>
  <c r="AC26" i="3"/>
  <c r="O26" i="3"/>
  <c r="E26" i="3"/>
  <c r="W18" i="3"/>
  <c r="W38" i="3" s="1"/>
  <c r="W17" i="3"/>
  <c r="W36" i="3" s="1"/>
  <c r="W26" i="3" s="1"/>
  <c r="W15" i="3"/>
  <c r="AA26" i="3"/>
  <c r="K18" i="3"/>
  <c r="K38" i="3" s="1"/>
  <c r="K15" i="3"/>
  <c r="K17" i="3"/>
  <c r="K36" i="3" s="1"/>
  <c r="Q26" i="3"/>
  <c r="W30" i="5"/>
  <c r="AA11" i="5"/>
  <c r="U11" i="5"/>
  <c r="O11" i="5"/>
  <c r="I11" i="5"/>
  <c r="C11" i="5"/>
  <c r="C6" i="5"/>
  <c r="I6" i="5"/>
  <c r="O6" i="5"/>
  <c r="U6" i="5"/>
  <c r="AA6" i="5"/>
  <c r="K26" i="3" l="1"/>
  <c r="AB12" i="5"/>
  <c r="AA12" i="5"/>
  <c r="V12" i="5"/>
  <c r="U12" i="5"/>
  <c r="P12" i="5"/>
  <c r="O12" i="5"/>
  <c r="J12" i="5"/>
  <c r="I12" i="5"/>
  <c r="D12" i="5"/>
  <c r="C12" i="5"/>
  <c r="C43" i="3" l="1"/>
  <c r="AC14" i="5"/>
  <c r="AA14" i="5"/>
  <c r="W14" i="5"/>
  <c r="U14" i="5"/>
  <c r="Q14" i="5"/>
  <c r="O14" i="5"/>
  <c r="K14" i="5"/>
  <c r="I14" i="5"/>
  <c r="E14" i="5"/>
  <c r="C14" i="5"/>
  <c r="C44" i="3" l="1"/>
  <c r="E18" i="5"/>
  <c r="E17" i="5"/>
  <c r="E36" i="5" s="1"/>
  <c r="I15" i="5"/>
  <c r="E15" i="5"/>
  <c r="C15" i="5"/>
  <c r="AB13" i="5" l="1"/>
  <c r="V13" i="5"/>
  <c r="P13" i="5"/>
  <c r="J13" i="5"/>
  <c r="AC40" i="5" l="1"/>
  <c r="AA40" i="5"/>
  <c r="AC37" i="5"/>
  <c r="AA37" i="5"/>
  <c r="AC30" i="5"/>
  <c r="AA30" i="5"/>
  <c r="AC15" i="5"/>
  <c r="AC17" i="5"/>
  <c r="AC36" i="5" s="1"/>
  <c r="AA18" i="5"/>
  <c r="AA38" i="5" s="1"/>
  <c r="AC34" i="5"/>
  <c r="AA13" i="5"/>
  <c r="AC33" i="5"/>
  <c r="AB8" i="5"/>
  <c r="AA32" i="5" s="1"/>
  <c r="AA8" i="5"/>
  <c r="AB7" i="5"/>
  <c r="AA31" i="5" s="1"/>
  <c r="AA7" i="5"/>
  <c r="W40" i="5"/>
  <c r="U40" i="5"/>
  <c r="W37" i="5"/>
  <c r="U37" i="5"/>
  <c r="U30" i="5"/>
  <c r="W18" i="5"/>
  <c r="W38" i="5" s="1"/>
  <c r="W17" i="5"/>
  <c r="W36" i="5" s="1"/>
  <c r="U17" i="5"/>
  <c r="U36" i="5" s="1"/>
  <c r="W34" i="5"/>
  <c r="U13" i="5"/>
  <c r="W33" i="5"/>
  <c r="V8" i="5"/>
  <c r="U32" i="5" s="1"/>
  <c r="U8" i="5"/>
  <c r="V7" i="5"/>
  <c r="U31" i="5" s="1"/>
  <c r="U7" i="5"/>
  <c r="Q40" i="5"/>
  <c r="O40" i="5"/>
  <c r="Q37" i="5"/>
  <c r="O37" i="5"/>
  <c r="Q30" i="5"/>
  <c r="O30" i="5"/>
  <c r="Q18" i="5"/>
  <c r="Q38" i="5" s="1"/>
  <c r="O18" i="5"/>
  <c r="O38" i="5" s="1"/>
  <c r="O34" i="5"/>
  <c r="O13" i="5"/>
  <c r="O33" i="5"/>
  <c r="P8" i="5"/>
  <c r="O32" i="5" s="1"/>
  <c r="O8" i="5"/>
  <c r="P7" i="5"/>
  <c r="O31" i="5" s="1"/>
  <c r="O7" i="5"/>
  <c r="K40" i="5"/>
  <c r="I40" i="5"/>
  <c r="K37" i="5"/>
  <c r="I37" i="5"/>
  <c r="K30" i="5"/>
  <c r="I30" i="5"/>
  <c r="K17" i="5"/>
  <c r="K36" i="5" s="1"/>
  <c r="I17" i="5"/>
  <c r="I36" i="5" s="1"/>
  <c r="K34" i="5"/>
  <c r="I13" i="5"/>
  <c r="K33" i="5"/>
  <c r="J8" i="5"/>
  <c r="I32" i="5" s="1"/>
  <c r="I8" i="5"/>
  <c r="J7" i="5"/>
  <c r="I31" i="5" s="1"/>
  <c r="I7" i="5"/>
  <c r="E40" i="5"/>
  <c r="C40" i="5"/>
  <c r="E37" i="5"/>
  <c r="E30" i="5"/>
  <c r="C30" i="5"/>
  <c r="E22" i="5" l="1"/>
  <c r="E41" i="5" s="1"/>
  <c r="E20" i="5"/>
  <c r="E39" i="5" s="1"/>
  <c r="C20" i="5"/>
  <c r="C39" i="5" s="1"/>
  <c r="C22" i="5"/>
  <c r="C41" i="5" s="1"/>
  <c r="K20" i="5"/>
  <c r="K39" i="5" s="1"/>
  <c r="K22" i="5"/>
  <c r="K41" i="5" s="1"/>
  <c r="U22" i="5"/>
  <c r="U41" i="5" s="1"/>
  <c r="U20" i="5"/>
  <c r="U39" i="5" s="1"/>
  <c r="AA22" i="5"/>
  <c r="AA41" i="5" s="1"/>
  <c r="AA20" i="5"/>
  <c r="AA39" i="5" s="1"/>
  <c r="AC20" i="5"/>
  <c r="AC39" i="5" s="1"/>
  <c r="AC22" i="5"/>
  <c r="AC41" i="5" s="1"/>
  <c r="O22" i="5"/>
  <c r="O41" i="5" s="1"/>
  <c r="O20" i="5"/>
  <c r="O39" i="5" s="1"/>
  <c r="Q20" i="5"/>
  <c r="Q39" i="5" s="1"/>
  <c r="Q22" i="5"/>
  <c r="Q41" i="5" s="1"/>
  <c r="W20" i="5"/>
  <c r="W39" i="5" s="1"/>
  <c r="W22" i="5"/>
  <c r="W41" i="5" s="1"/>
  <c r="I20" i="5"/>
  <c r="I39" i="5" s="1"/>
  <c r="I22" i="5"/>
  <c r="I41" i="5" s="1"/>
  <c r="AA25" i="5"/>
  <c r="AC18" i="5"/>
  <c r="AC38" i="5" s="1"/>
  <c r="AA33" i="5"/>
  <c r="K15" i="5"/>
  <c r="Q33" i="5"/>
  <c r="K18" i="5"/>
  <c r="K38" i="5" s="1"/>
  <c r="U25" i="5"/>
  <c r="W15" i="5"/>
  <c r="AA17" i="5"/>
  <c r="AA36" i="5" s="1"/>
  <c r="AA34" i="5"/>
  <c r="I25" i="5"/>
  <c r="AA15" i="5"/>
  <c r="O25" i="5"/>
  <c r="Q34" i="5"/>
  <c r="U34" i="5"/>
  <c r="U15" i="5"/>
  <c r="U18" i="5"/>
  <c r="U38" i="5" s="1"/>
  <c r="U33" i="5"/>
  <c r="Q17" i="5"/>
  <c r="Q36" i="5" s="1"/>
  <c r="O17" i="5"/>
  <c r="O36" i="5" s="1"/>
  <c r="O15" i="5"/>
  <c r="Q15" i="5"/>
  <c r="I34" i="5"/>
  <c r="I18" i="5"/>
  <c r="I38" i="5" s="1"/>
  <c r="I33" i="5"/>
  <c r="W26" i="5" l="1"/>
  <c r="AC26" i="5"/>
  <c r="K26" i="5"/>
  <c r="O26" i="5"/>
  <c r="AA26" i="5"/>
  <c r="Q26" i="5"/>
  <c r="U26" i="5"/>
  <c r="I26" i="5"/>
  <c r="D13" i="5"/>
  <c r="C13" i="5"/>
  <c r="C8" i="5"/>
  <c r="C7" i="5"/>
  <c r="D8" i="5"/>
  <c r="C32" i="5" s="1"/>
  <c r="D7" i="5"/>
  <c r="C31" i="5" s="1"/>
  <c r="C33" i="5" l="1"/>
  <c r="E33" i="5"/>
  <c r="E34" i="5"/>
  <c r="C34" i="5"/>
  <c r="C37" i="5"/>
  <c r="E38" i="5"/>
  <c r="C17" i="5"/>
  <c r="C36" i="5" s="1"/>
  <c r="C25" i="5" l="1"/>
  <c r="E26" i="5"/>
  <c r="C18" i="5"/>
  <c r="C38" i="5" s="1"/>
  <c r="C26" i="5" s="1"/>
  <c r="C43" i="5" l="1"/>
  <c r="C44" i="5"/>
</calcChain>
</file>

<file path=xl/sharedStrings.xml><?xml version="1.0" encoding="utf-8"?>
<sst xmlns="http://schemas.openxmlformats.org/spreadsheetml/2006/main" count="2684" uniqueCount="279">
  <si>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</si>
  <si>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</si>
  <si>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</si>
  <si>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</si>
  <si>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</si>
  <si>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</si>
  <si>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</si>
  <si>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</si>
  <si>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</si>
  <si>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</si>
  <si>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</si>
  <si>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</si>
  <si>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</si>
  <si>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</si>
  <si>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</si>
  <si>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</si>
  <si>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</si>
  <si>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</si>
  <si>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</si>
  <si>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</si>
  <si>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</si>
  <si>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</si>
  <si>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</si>
  <si>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</si>
  <si>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</si>
  <si>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</si>
  <si>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</si>
  <si>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</si>
  <si>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</si>
  <si>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</si>
  <si>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</si>
  <si>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</si>
  <si>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</si>
  <si>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フレイムブラスト</t>
    <phoneticPr fontId="1"/>
  </si>
  <si>
    <t>火属性ダメージ(強)</t>
    <rPh sb="0" eb="1">
      <t>ヒゾクス</t>
    </rPh>
    <rPh sb="8" eb="9">
      <t>キョウ</t>
    </rPh>
    <phoneticPr fontId="1"/>
  </si>
  <si>
    <t>B</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</si>
  <si>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</si>
  <si>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</si>
  <si>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</si>
  <si>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</si>
  <si>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</si>
  <si>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</si>
  <si>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</si>
  <si>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</si>
  <si>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</si>
  <si>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</si>
  <si>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</si>
  <si>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</si>
  <si>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</si>
  <si>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</si>
  <si>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</si>
  <si>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</si>
  <si>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</si>
  <si>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</si>
  <si>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</si>
  <si>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</si>
  <si>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</si>
  <si>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</si>
  <si>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</si>
  <si>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</si>
  <si>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</si>
  <si>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</si>
  <si>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</si>
  <si>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</si>
  <si>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</si>
  <si>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</si>
  <si>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</si>
  <si>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</si>
  <si>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</si>
  <si>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</si>
  <si>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</si>
  <si>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</si>
  <si>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</si>
  <si>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</si>
  <si>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</si>
  <si>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</si>
  <si>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</si>
  <si>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</si>
  <si>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</si>
  <si>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</si>
  <si>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</si>
  <si>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</si>
  <si>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</si>
  <si>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</si>
  <si>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</si>
  <si>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</si>
  <si>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</si>
  <si>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</si>
  <si>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</si>
  <si>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</si>
  <si>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</si>
  <si>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</si>
  <si>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</si>
  <si>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</si>
  <si>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作成者：いぬぽ(@inuneko6928)</t>
    <rPh sb="0" eb="3">
      <t>サクセイ</t>
    </rPh>
    <phoneticPr fontId="1"/>
  </si>
  <si>
    <t>２連撃の木属性ダメージ(強)</t>
    <rPh sb="12" eb="13">
      <t>キョウ</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</si>
  <si>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</si>
  <si>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</si>
  <si>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</si>
  <si>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</si>
  <si>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</si>
  <si>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</si>
  <si>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</si>
  <si>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</si>
  <si>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</si>
  <si>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</si>
  <si>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</si>
  <si>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</si>
  <si>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</si>
  <si>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</si>
  <si>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</si>
  <si>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</si>
  <si>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</si>
  <si>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</si>
  <si>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</si>
  <si>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</si>
  <si>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</si>
  <si>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</si>
  <si>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</si>
  <si>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</si>
  <si>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</si>
  <si>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</si>
  <si>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</si>
  <si>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</si>
  <si>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</si>
  <si>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</si>
  <si>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</si>
  <si>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</si>
  <si>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</si>
  <si>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</si>
  <si>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</si>
  <si>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</si>
  <si>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</si>
  <si>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</si>
  <si>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</si>
  <si>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</si>
  <si>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</si>
  <si>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</si>
  <si>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</si>
  <si>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</si>
  <si>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</si>
  <si>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</si>
  <si>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</si>
  <si>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</si>
  <si>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</si>
  <si>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</si>
  <si>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</si>
  <si>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</si>
  <si>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</si>
  <si>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</si>
  <si>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</si>
  <si>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</si>
  <si>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</si>
  <si>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</si>
  <si>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</si>
  <si>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</si>
  <si>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</si>
  <si>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</si>
  <si>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</si>
  <si>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</si>
  <si>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</si>
  <si>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</si>
  <si>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</si>
  <si>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</si>
  <si>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</si>
  <si>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</si>
  <si>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</si>
  <si>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</si>
  <si>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</si>
  <si>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</si>
  <si>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</si>
  <si>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</si>
  <si>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</si>
  <si>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</si>
  <si>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</si>
  <si>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</si>
  <si>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</si>
  <si>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</si>
  <si>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</si>
  <si>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</si>
  <si>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</si>
  <si>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</si>
  <si>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</si>
  <si>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</si>
  <si>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</si>
  <si>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</si>
  <si>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</si>
  <si>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</si>
  <si>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</si>
  <si>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</si>
  <si>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</si>
  <si>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</si>
  <si>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</si>
  <si>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</si>
  <si>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</si>
  <si>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</si>
  <si>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</si>
  <si>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</si>
  <si>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</si>
  <si>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</si>
  <si>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</si>
  <si>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</si>
  <si>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</si>
  <si>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</si>
  <si>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</si>
  <si>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</si>
  <si>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</si>
  <si>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</si>
  <si>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</si>
  <si>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</si>
  <si>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</si>
  <si>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</si>
  <si>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</si>
  <si>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</si>
  <si>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</si>
  <si>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</si>
  <si>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ゼロレイ[II]</t>
  </si>
  <si>
    <t>アクアウェーブ[II]</t>
    <phoneticPr fontId="1"/>
  </si>
  <si>
    <t>2連撃の水属性ダメージ(強)</t>
    <rPh sb="1" eb="3">
      <t>レンゲキ</t>
    </rPh>
    <rPh sb="4" eb="5">
      <t>ミズゾク</t>
    </rPh>
    <rPh sb="12" eb="13">
      <t>キョウ</t>
    </rPh>
    <phoneticPr fontId="1"/>
  </si>
  <si>
    <t>ATK バフ</t>
    <phoneticPr fontId="1"/>
  </si>
  <si>
    <t>ダメージ バフ</t>
    <phoneticPr fontId="1"/>
  </si>
  <si>
    <t>選択してください</t>
    <rPh sb="0" eb="2">
      <t xml:space="preserve">センタクシテクダサイ </t>
    </rPh>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</si>
  <si>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</si>
  <si>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</si>
  <si>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</si>
  <si>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</si>
  <si>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</si>
  <si>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</si>
  <si>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</si>
  <si>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</si>
  <si>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</si>
  <si>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</si>
  <si>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</si>
  <si>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</si>
  <si>
    <t>ゼロレイ[II]</t>
    <phoneticPr fontId="1"/>
  </si>
  <si>
    <t>２連撃の無属性ダメージ(強)</t>
    <rPh sb="4" eb="5">
      <t>ムゾクセイ</t>
    </rPh>
    <rPh sb="12" eb="13">
      <t>8/23</t>
    </rPh>
    <phoneticPr fontId="1"/>
  </si>
  <si>
    <t>星送りの衣</t>
    <rPh sb="0" eb="2">
      <t>ホシオ</t>
    </rPh>
    <phoneticPr fontId="1"/>
  </si>
  <si>
    <t>スターゲイズ・ギア</t>
    <phoneticPr fontId="1"/>
  </si>
  <si>
    <t>ATK UP 小1</t>
    <rPh sb="7" eb="8">
      <t>sy</t>
    </rPh>
    <phoneticPr fontId="1"/>
  </si>
  <si>
    <t>ATK UP 小2</t>
    <rPh sb="7" eb="8">
      <t>sy</t>
    </rPh>
    <phoneticPr fontId="1"/>
  </si>
  <si>
    <t>[DUO]イデアと一緒に選択したとき3連撃に強化</t>
  </si>
  <si>
    <t>R</t>
  </si>
  <si>
    <t>SR</t>
  </si>
  <si>
    <t>SSR</t>
  </si>
  <si>
    <t>おめかしバースデー</t>
  </si>
  <si>
    <t>星送りの衣</t>
  </si>
  <si>
    <t>スターゲイズ・ギア</t>
  </si>
  <si>
    <t>DUO発動時に3連撃に強化（アズール）</t>
    <phoneticPr fontId="1"/>
  </si>
  <si>
    <t>ATK DOWN（小）（相手/1T）</t>
  </si>
  <si>
    <t>ATK DOWN（中）（相手/1T）</t>
  </si>
  <si>
    <t>ATK DOWN（大）（相手/1T）</t>
  </si>
  <si>
    <t>ダメージDOWN（小）（相手/１T）</t>
  </si>
  <si>
    <t>ダメージDOWN（小）（相手/3T）</t>
  </si>
  <si>
    <t>ダメージDOWN（中）（相手/3T）</t>
  </si>
  <si>
    <t>ATK DOWN（小）（相手/3T）</t>
  </si>
  <si>
    <t>ATK DOWN（中）（相手/3T）</t>
  </si>
  <si>
    <t>ダメージDOWN（小）（相手/1T）</t>
  </si>
  <si>
    <t>ダメージDOWN（中）（相手/1T）</t>
  </si>
  <si>
    <t>ダメージDOWN（大）（相手/1T）</t>
  </si>
  <si>
    <t>フォレストライク</t>
  </si>
  <si>
    <t>[DUO]オルトと一緒に選択したとき3連撃に強化</t>
  </si>
  <si>
    <t>2連撃の木属性ダメージ</t>
  </si>
  <si>
    <t>2連続の水属性ダメージ</t>
  </si>
  <si>
    <t>ATK DOWN（極小）（相手/1T）</t>
  </si>
  <si>
    <t>被ダメージDOWN（小）</t>
  </si>
  <si>
    <t>被ダメージDOWN（大）</t>
  </si>
  <si>
    <t>ダメージUP（極小）</t>
  </si>
  <si>
    <t>おめかしバースデー</t>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</si>
  <si>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時々作者が更新することがありますので、データの入力が面倒な方や不便に思う方は同じ場所からDLしてください。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トキ</t>
    </rPh>
    <rPh sb="110" eb="112">
      <t>サクセィア</t>
    </rPh>
    <rPh sb="113" eb="115">
      <t>コウシn</t>
    </rPh>
    <rPh sb="134" eb="136">
      <t>メn</t>
    </rPh>
    <rPh sb="139" eb="141">
      <t>フベn</t>
    </rPh>
    <rPh sb="146" eb="147">
      <t>オナゼィ</t>
    </rPh>
    <rPh sb="161" eb="162">
      <t xml:space="preserve">ミナサン </t>
    </rPh>
    <rPh sb="177" eb="178">
      <t>ネガッテ</t>
    </rPh>
    <phoneticPr fontId="1"/>
  </si>
  <si>
    <t>バディ1</t>
    <phoneticPr fontId="1"/>
  </si>
  <si>
    <t>バディ2</t>
    <phoneticPr fontId="1"/>
  </si>
  <si>
    <t>バディ3</t>
    <phoneticPr fontId="1"/>
  </si>
  <si>
    <t>バディ4</t>
    <phoneticPr fontId="1"/>
  </si>
  <si>
    <t>魔法1</t>
    <rPh sb="0" eb="2">
      <t>マホウ</t>
    </rPh>
    <phoneticPr fontId="1"/>
  </si>
  <si>
    <t>魔法2</t>
    <rPh sb="0" eb="2">
      <t>マホウ</t>
    </rPh>
    <phoneticPr fontId="1"/>
  </si>
  <si>
    <t>A</t>
    <phoneticPr fontId="1"/>
  </si>
  <si>
    <t>D</t>
    <phoneticPr fontId="1"/>
  </si>
  <si>
    <t>このexcelの一番の売りです。薄い黄色になっている部分を記入していただくと推定HPと推定ダメージが出てきます。
オプションとしてバフを選択できるようになっています。
上段のボタンはそれぞれのキャラのパラメータのクリアとパラメータの保存です。このデータは2. カード一覧の黄色部分に保存されています。初期値はHP2000, ATK1000, その他1としてあるので、自分の持っているカードのパラメータを記入して保存すれば次に使う時にキャラとカードを選択するだけで呼び出せます。
下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4" eb="86">
      <t>ジョウダn</t>
    </rPh>
    <rPh sb="116" eb="118">
      <t>ホゾn</t>
    </rPh>
    <rPh sb="136" eb="138">
      <t>キイロ</t>
    </rPh>
    <rPh sb="138" eb="140">
      <t>ブブn</t>
    </rPh>
    <rPh sb="141" eb="143">
      <t>ホゾn</t>
    </rPh>
    <rPh sb="150" eb="153">
      <t>ショキ</t>
    </rPh>
    <rPh sb="183" eb="185">
      <t>ジブn</t>
    </rPh>
    <rPh sb="186" eb="187">
      <t>モッテ</t>
    </rPh>
    <rPh sb="201" eb="203">
      <t>キニュウ</t>
    </rPh>
    <rPh sb="205" eb="207">
      <t>ホゾンス</t>
    </rPh>
    <rPh sb="210" eb="211">
      <t>ツギニテゥ</t>
    </rPh>
    <rPh sb="224" eb="226">
      <t>センタク</t>
    </rPh>
    <rPh sb="231" eb="232">
      <t>ヨビダセ</t>
    </rPh>
    <rPh sb="245" eb="248">
      <t>ショキ</t>
    </rPh>
    <rPh sb="250" eb="252">
      <t>サイセィオ</t>
    </rPh>
    <rPh sb="258" eb="261">
      <t>ゼンユウリ</t>
    </rPh>
    <rPh sb="263" eb="268">
      <t>ムゾクセイ</t>
    </rPh>
    <rPh sb="269" eb="270">
      <t>スベテ</t>
    </rPh>
    <rPh sb="275" eb="277">
      <t>ユウリ</t>
    </rPh>
    <rPh sb="294" eb="296">
      <t>アイテ</t>
    </rPh>
    <rPh sb="297" eb="299">
      <t>ゾクセイ</t>
    </rPh>
    <rPh sb="303" eb="307">
      <t>ユウリ</t>
    </rPh>
    <rPh sb="308" eb="310">
      <t>イッカテゥ</t>
    </rPh>
    <rPh sb="311" eb="313">
      <t>キニュウ</t>
    </rPh>
    <rPh sb="343" eb="345">
      <t>シヨウ</t>
    </rPh>
    <rPh sb="348" eb="350">
      <t>ランスウホス</t>
    </rPh>
    <rPh sb="380" eb="382">
      <t>テイド</t>
    </rPh>
    <rPh sb="383" eb="385">
      <t>ゴサ</t>
    </rPh>
    <rPh sb="386" eb="387">
      <t>デマス</t>
    </rPh>
    <phoneticPr fontId="1"/>
  </si>
  <si>
    <t>お手持ちのカードの情報をここに載せ、フィルタ機能などを用いると編成が楽になると思います。バディと各パラメータが1. シミュレータに参照されています。新たなカードのデータはご自分で記入してください。</t>
    <rPh sb="9" eb="11">
      <t>ジョウホウ</t>
    </rPh>
    <rPh sb="15" eb="16">
      <t>ノセル</t>
    </rPh>
    <rPh sb="33" eb="36">
      <t>コウゲキ</t>
    </rPh>
    <rPh sb="37" eb="39">
      <t>スイソク</t>
    </rPh>
    <rPh sb="48" eb="49">
      <t>カクパラ</t>
    </rPh>
    <rPh sb="60" eb="62">
      <t>キノウナド</t>
    </rPh>
    <rPh sb="65" eb="67">
      <t>サンショウ</t>
    </rPh>
    <rPh sb="74" eb="75">
      <t>アラタ</t>
    </rPh>
    <rPh sb="89" eb="91">
      <t>キニュウ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</si>
</sst>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游ゴシック"/>
      <family val="2"/>
      <charset val="128"/>
      <scheme val="minor"/>
    </font>
    <font>
      <sz val="6"/>
      <name val="游ゴシック"/>
      <family val="2"/>
      <charset val="128"/>
      <scheme val="minor"/>
    </font>
    <font>
      <sz val="12"/>
      <color theme="1"/>
      <name val="Meiryo"/>
      <family val="2"/>
      <charset val="128"/>
    </font>
    <font>
      <b/>
      <sz val="12"/>
      <color theme="1"/>
      <name val="Meiryo"/>
      <family val="2"/>
      <charset val="128"/>
    </font>
    <font>
      <b/>
      <sz val="12"/>
      <color rgb="FF000000"/>
      <name val="Meiryo"/>
      <family val="2"/>
      <charset val="128"/>
    </font>
    <font>
      <u/>
      <sz val="12"/>
      <color theme="10"/>
      <name val="游ゴシック"/>
      <family val="2"/>
      <charset val="128"/>
      <scheme val="minor"/>
    </font>
    <font>
      <sz val="11"/>
      <color theme="1"/>
      <name val="游ゴシック"/>
      <family val="3"/>
      <charset val="128"/>
      <scheme val="minor"/>
    </font>
    <font>
      <sz val="12"/>
      <color rgb="FF000000"/>
      <name val="游ゴシック"/>
      <family val="3"/>
      <charset val="128"/>
      <scheme val="minor"/>
    </font>
  </fonts>
  <fills count="3">
    <fill>
      <patternFill patternType="none"/>
    </fill>
    <fill>
      <patternFill patternType="gray125"/>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7">
    <xf numFmtId="0" fontId="0" fillId="0" borderId="0" xfId="0">
      <alignment vertical="center"/>
    </xf>
    <xf numFmtId="0" fontId="0" fillId="0" borderId="0" xfId="0" applyFill="1">
      <alignment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2" xfId="0" applyBorder="1" applyAlignment="1">
      <alignment horizontal="center" vertical="center"/>
    </xf>
    <xf numFmtId="0" fontId="0" fillId="0" borderId="22"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8"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0" xfId="0" applyFill="1" applyBorder="1" applyAlignment="1">
      <alignment horizontal="center" vertical="center"/>
    </xf>
    <xf numFmtId="0" fontId="0" fillId="0" borderId="21"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29" xfId="0" applyNumberFormat="1" applyBorder="1" applyAlignment="1">
      <alignment vertical="center" wrapText="1"/>
    </xf>
    <xf numFmtId="0" fontId="0" fillId="0" borderId="29"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6" xfId="0" applyBorder="1" applyAlignment="1">
      <alignment vertical="center"/>
    </xf>
    <xf numFmtId="0" fontId="0" fillId="0" borderId="4" xfId="0" applyBorder="1" applyAlignment="1">
      <alignment vertical="center"/>
    </xf>
    <xf numFmtId="0" fontId="0" fillId="0" borderId="24"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0" fillId="0" borderId="28" xfId="0" applyBorder="1" applyAlignment="1">
      <alignment vertical="center" wrapText="1"/>
    </xf>
    <xf numFmtId="0" fontId="0" fillId="0" borderId="33" xfId="0" applyBorder="1" applyAlignment="1">
      <alignment vertical="center" wrapText="1"/>
    </xf>
    <xf numFmtId="0" fontId="0" fillId="0" borderId="34" xfId="0" applyBorder="1" applyAlignment="1">
      <alignment vertical="center" wrapText="1"/>
    </xf>
    <xf numFmtId="0" fontId="0" fillId="0" borderId="4" xfId="0" applyBorder="1" applyAlignment="1">
      <alignment vertical="center" wrapText="1"/>
    </xf>
    <xf numFmtId="0" fontId="0" fillId="0" borderId="2" xfId="0" applyBorder="1" applyAlignment="1">
      <alignment horizontal="center" vertical="center"/>
    </xf>
    <xf numFmtId="0" fontId="0" fillId="0" borderId="4" xfId="0" applyBorder="1" applyAlignment="1">
      <alignment horizontal="center" vertical="center"/>
    </xf>
    <xf numFmtId="0" fontId="2" fillId="0" borderId="0" xfId="0" applyFont="1">
      <alignment vertical="center"/>
    </xf>
    <xf numFmtId="0" fontId="3" fillId="0" borderId="0" xfId="0" applyFont="1">
      <alignment vertical="center"/>
    </xf>
    <xf numFmtId="0" fontId="5" fillId="0" borderId="0" xfId="1">
      <alignment vertical="center"/>
    </xf>
    <xf numFmtId="0" fontId="4" fillId="0" borderId="0" xfId="0" applyFont="1">
      <alignment vertical="center"/>
    </xf>
    <xf numFmtId="0" fontId="0" fillId="0" borderId="0" xfId="0" applyBorder="1" applyAlignment="1">
      <alignment horizontal="center" vertical="center"/>
    </xf>
    <xf numFmtId="0" fontId="6" fillId="0" borderId="0" xfId="0" applyFont="1">
      <alignment vertical="center"/>
    </xf>
    <xf numFmtId="0" fontId="7" fillId="0" borderId="0" xfId="0" applyFont="1">
      <alignment vertical="center"/>
    </xf>
    <xf numFmtId="0" fontId="3" fillId="0" borderId="0" xfId="0" applyFont="1" applyAlignment="1">
      <alignment vertical="center"/>
    </xf>
    <xf numFmtId="0" fontId="2" fillId="0" borderId="0" xfId="0" applyFont="1" applyAlignment="1">
      <alignment vertical="center"/>
    </xf>
    <xf numFmtId="0" fontId="0" fillId="2" borderId="0" xfId="0" applyFill="1">
      <alignment vertical="center"/>
    </xf>
    <xf numFmtId="0" fontId="0" fillId="0" borderId="35" xfId="0" applyBorder="1">
      <alignment vertical="center"/>
    </xf>
    <xf numFmtId="0" fontId="0" fillId="0" borderId="0" xfId="0" applyFill="1" applyBorder="1" applyAlignment="1">
      <alignment horizontal="center" vertical="center"/>
    </xf>
    <xf numFmtId="0" fontId="0" fillId="2" borderId="0" xfId="0" applyFill="1" applyBorder="1">
      <alignment vertical="center"/>
    </xf>
    <xf numFmtId="0" fontId="0" fillId="2" borderId="0" xfId="0" applyFill="1" applyAlignment="1">
      <alignment horizontal="right" vertical="center"/>
    </xf>
    <xf numFmtId="0" fontId="0" fillId="0" borderId="2" xfId="0" applyBorder="1" applyAlignment="1">
      <alignment vertical="center"/>
    </xf>
    <xf numFmtId="0" fontId="0" fillId="0" borderId="23" xfId="0" applyBorder="1" applyAlignment="1">
      <alignment vertical="center"/>
    </xf>
    <xf numFmtId="0" fontId="0" fillId="0" borderId="36" xfId="0" applyBorder="1" applyAlignment="1">
      <alignment vertical="center"/>
    </xf>
    <xf numFmtId="0" fontId="0" fillId="0" borderId="37" xfId="0" applyBorder="1" applyAlignment="1">
      <alignment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0" fillId="0" borderId="30" xfId="0" applyBorder="1" applyAlignment="1">
      <alignment horizontal="center" vertical="center"/>
    </xf>
    <xf numFmtId="0" fontId="0" fillId="0" borderId="12"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0" xfId="0" applyBorder="1" applyAlignment="1">
      <alignment horizontal="center" vertical="center"/>
    </xf>
    <xf numFmtId="0" fontId="0" fillId="0" borderId="24" xfId="0" applyBorder="1" applyAlignment="1">
      <alignment horizontal="center" vertical="center"/>
    </xf>
    <xf numFmtId="0" fontId="0" fillId="0" borderId="5" xfId="0" applyBorder="1" applyAlignment="1">
      <alignment horizontal="center" vertical="center"/>
    </xf>
    <xf numFmtId="0" fontId="0" fillId="2" borderId="16" xfId="0" applyFill="1" applyBorder="1" applyAlignment="1">
      <alignment horizontal="center" vertical="center"/>
    </xf>
    <xf numFmtId="0" fontId="0" fillId="2" borderId="17" xfId="0" applyFill="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2" borderId="24" xfId="0" applyFill="1" applyBorder="1" applyAlignment="1">
      <alignment horizontal="center" vertical="center"/>
    </xf>
    <xf numFmtId="0" fontId="0" fillId="2" borderId="5" xfId="0" applyFill="1" applyBorder="1" applyAlignment="1">
      <alignment horizontal="center" vertical="center"/>
    </xf>
    <xf numFmtId="0" fontId="0" fillId="0" borderId="16" xfId="0" applyFill="1" applyBorder="1" applyAlignment="1">
      <alignment horizontal="center" vertical="center"/>
    </xf>
    <xf numFmtId="0" fontId="0" fillId="0" borderId="17" xfId="0" applyFill="1" applyBorder="1" applyAlignment="1">
      <alignment horizontal="center" vertical="center"/>
    </xf>
    <xf numFmtId="0" fontId="0" fillId="2" borderId="23" xfId="0" applyFill="1" applyBorder="1" applyAlignment="1">
      <alignment horizontal="center" vertical="center"/>
    </xf>
    <xf numFmtId="0" fontId="0" fillId="2" borderId="3" xfId="0" applyFill="1" applyBorder="1" applyAlignment="1">
      <alignment horizontal="center" vertical="center"/>
    </xf>
    <xf numFmtId="0" fontId="0" fillId="0" borderId="2" xfId="0" applyBorder="1" applyAlignment="1">
      <alignment horizontal="center" vertical="center"/>
    </xf>
    <xf numFmtId="0" fontId="0" fillId="0" borderId="23"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0" borderId="19" xfId="0" applyBorder="1" applyAlignment="1">
      <alignment horizontal="center" vertical="center"/>
    </xf>
    <xf numFmtId="0" fontId="0" fillId="2" borderId="27" xfId="0" applyFill="1" applyBorder="1" applyAlignment="1">
      <alignment horizontal="center" vertical="center"/>
    </xf>
    <xf numFmtId="0" fontId="0" fillId="2" borderId="4" xfId="0" applyFill="1" applyBorder="1" applyAlignment="1">
      <alignment horizontal="center" vertical="center"/>
    </xf>
    <xf numFmtId="0" fontId="0" fillId="0" borderId="6" xfId="0" applyBorder="1" applyAlignment="1">
      <alignment horizontal="center" vertical="center"/>
    </xf>
    <xf numFmtId="0" fontId="0" fillId="0" borderId="25" xfId="0" applyBorder="1" applyAlignment="1">
      <alignment horizontal="center" vertical="center"/>
    </xf>
    <xf numFmtId="0" fontId="0" fillId="0" borderId="7" xfId="0" applyBorder="1" applyAlignment="1">
      <alignment horizontal="center" vertical="center"/>
    </xf>
    <xf numFmtId="0" fontId="0" fillId="2" borderId="6" xfId="0" applyFill="1" applyBorder="1" applyAlignment="1">
      <alignment horizontal="center" vertical="center"/>
    </xf>
    <xf numFmtId="0" fontId="0" fillId="2" borderId="25" xfId="0" applyFill="1" applyBorder="1" applyAlignment="1">
      <alignment horizontal="center" vertical="center"/>
    </xf>
    <xf numFmtId="0" fontId="0" fillId="2" borderId="7" xfId="0"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0" fillId="0" borderId="11" xfId="0" applyBorder="1" applyAlignment="1">
      <alignment horizontal="center" vertical="center"/>
    </xf>
  </cellXfs>
  <cellStyles count="2">
    <cellStyle name="ハイパーリンク" xfId="1" builtinId="8"/>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275600</xdr:colOff>
      <xdr:row>29</xdr:row>
      <xdr:rowOff>0</xdr:rowOff>
    </xdr:from>
    <xdr:to>
      <xdr:col>8</xdr:col>
      <xdr:colOff>655934</xdr:colOff>
      <xdr:row>44</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906306" y="7186706"/>
          <a:ext cx="1979040" cy="552242"/>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42</xdr:row>
      <xdr:rowOff>14942</xdr:rowOff>
    </xdr:from>
    <xdr:to>
      <xdr:col>10</xdr:col>
      <xdr:colOff>915636</xdr:colOff>
      <xdr:row>44</xdr:row>
      <xdr:rowOff>37108</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210958" y="7201648"/>
          <a:ext cx="1293737" cy="545107"/>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239059</xdr:colOff>
      <xdr:row>29</xdr:row>
      <xdr:rowOff>0</xdr:rowOff>
    </xdr:from>
    <xdr:to>
      <xdr:col>14</xdr:col>
      <xdr:colOff>905266</xdr:colOff>
      <xdr:row>44</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799294" y="7186706"/>
          <a:ext cx="1293737" cy="56004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41</xdr:row>
      <xdr:rowOff>29882</xdr:rowOff>
    </xdr:from>
    <xdr:to>
      <xdr:col>17</xdr:col>
      <xdr:colOff>203031</xdr:colOff>
      <xdr:row>44</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41</xdr:row>
      <xdr:rowOff>14941</xdr:rowOff>
    </xdr:from>
    <xdr:to>
      <xdr:col>21</xdr:col>
      <xdr:colOff>217973</xdr:colOff>
      <xdr:row>44</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29</xdr:row>
      <xdr:rowOff>0</xdr:rowOff>
    </xdr:from>
    <xdr:to>
      <xdr:col>24</xdr:col>
      <xdr:colOff>68561</xdr:colOff>
      <xdr:row>44</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twoCellAnchor>
    <xdr:from>
      <xdr:col>2</xdr:col>
      <xdr:colOff>254000</xdr:colOff>
      <xdr:row>26</xdr:row>
      <xdr:rowOff>134470</xdr:rowOff>
    </xdr:from>
    <xdr:to>
      <xdr:col>3</xdr:col>
      <xdr:colOff>179295</xdr:colOff>
      <xdr:row>28</xdr:row>
      <xdr:rowOff>14941</xdr:rowOff>
    </xdr:to>
    <xdr:sp macro="[0]!clear1" textlink="">
      <xdr:nvSpPr>
        <xdr:cNvPr id="2" name="角丸四角形 1">
          <a:extLst>
            <a:ext uri="{FF2B5EF4-FFF2-40B4-BE49-F238E27FC236}">
              <a16:creationId xmlns:a16="http://schemas.microsoft.com/office/drawing/2014/main" id="{6FF5A2CD-EDB4-0A44-AB1D-49C22945193B}"/>
            </a:ext>
          </a:extLst>
        </xdr:cNvPr>
        <xdr:cNvSpPr/>
      </xdr:nvSpPr>
      <xdr:spPr>
        <a:xfrm>
          <a:off x="2525059" y="7052235"/>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endParaRPr kumimoji="1" lang="en-US" altLang="ja-JP" sz="1600">
            <a:solidFill>
              <a:schemeClr val="tx1"/>
            </a:solidFill>
          </a:endParaRPr>
        </a:p>
      </xdr:txBody>
    </xdr:sp>
    <xdr:clientData/>
  </xdr:twoCellAnchor>
  <xdr:twoCellAnchor>
    <xdr:from>
      <xdr:col>8</xdr:col>
      <xdr:colOff>242047</xdr:colOff>
      <xdr:row>26</xdr:row>
      <xdr:rowOff>137458</xdr:rowOff>
    </xdr:from>
    <xdr:to>
      <xdr:col>9</xdr:col>
      <xdr:colOff>167342</xdr:colOff>
      <xdr:row>28</xdr:row>
      <xdr:rowOff>17929</xdr:rowOff>
    </xdr:to>
    <xdr:sp macro="[0]!clear2" textlink="">
      <xdr:nvSpPr>
        <xdr:cNvPr id="9" name="角丸四角形 8">
          <a:extLst>
            <a:ext uri="{FF2B5EF4-FFF2-40B4-BE49-F238E27FC236}">
              <a16:creationId xmlns:a16="http://schemas.microsoft.com/office/drawing/2014/main" id="{862D2FA8-1985-2244-9644-297D4FE59F61}"/>
            </a:ext>
          </a:extLst>
        </xdr:cNvPr>
        <xdr:cNvSpPr/>
      </xdr:nvSpPr>
      <xdr:spPr>
        <a:xfrm>
          <a:off x="5471459" y="7055223"/>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14</xdr:col>
      <xdr:colOff>274918</xdr:colOff>
      <xdr:row>26</xdr:row>
      <xdr:rowOff>140446</xdr:rowOff>
    </xdr:from>
    <xdr:to>
      <xdr:col>15</xdr:col>
      <xdr:colOff>200213</xdr:colOff>
      <xdr:row>28</xdr:row>
      <xdr:rowOff>20917</xdr:rowOff>
    </xdr:to>
    <xdr:sp macro="[0]!clear3" textlink="">
      <xdr:nvSpPr>
        <xdr:cNvPr id="10" name="角丸四角形 9">
          <a:extLst>
            <a:ext uri="{FF2B5EF4-FFF2-40B4-BE49-F238E27FC236}">
              <a16:creationId xmlns:a16="http://schemas.microsoft.com/office/drawing/2014/main" id="{93B72F57-D22A-B547-A4BB-5618616541EE}"/>
            </a:ext>
          </a:extLst>
        </xdr:cNvPr>
        <xdr:cNvSpPr/>
      </xdr:nvSpPr>
      <xdr:spPr>
        <a:xfrm>
          <a:off x="8462683" y="7058211"/>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20</xdr:col>
      <xdr:colOff>262965</xdr:colOff>
      <xdr:row>26</xdr:row>
      <xdr:rowOff>143434</xdr:rowOff>
    </xdr:from>
    <xdr:to>
      <xdr:col>21</xdr:col>
      <xdr:colOff>188260</xdr:colOff>
      <xdr:row>28</xdr:row>
      <xdr:rowOff>23905</xdr:rowOff>
    </xdr:to>
    <xdr:sp macro="[0]!clear4" textlink="">
      <xdr:nvSpPr>
        <xdr:cNvPr id="15" name="角丸四角形 14">
          <a:extLst>
            <a:ext uri="{FF2B5EF4-FFF2-40B4-BE49-F238E27FC236}">
              <a16:creationId xmlns:a16="http://schemas.microsoft.com/office/drawing/2014/main" id="{3AC30FCB-73C8-A146-8442-1900C37C63F4}"/>
            </a:ext>
          </a:extLst>
        </xdr:cNvPr>
        <xdr:cNvSpPr/>
      </xdr:nvSpPr>
      <xdr:spPr>
        <a:xfrm>
          <a:off x="11409083" y="7061199"/>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26</xdr:col>
      <xdr:colOff>236071</xdr:colOff>
      <xdr:row>26</xdr:row>
      <xdr:rowOff>131481</xdr:rowOff>
    </xdr:from>
    <xdr:to>
      <xdr:col>27</xdr:col>
      <xdr:colOff>161366</xdr:colOff>
      <xdr:row>28</xdr:row>
      <xdr:rowOff>11952</xdr:rowOff>
    </xdr:to>
    <xdr:sp macro="[0]!clear5" textlink="">
      <xdr:nvSpPr>
        <xdr:cNvPr id="16" name="角丸四角形 15">
          <a:extLst>
            <a:ext uri="{FF2B5EF4-FFF2-40B4-BE49-F238E27FC236}">
              <a16:creationId xmlns:a16="http://schemas.microsoft.com/office/drawing/2014/main" id="{E8FE1692-CBD2-4443-9891-C856E545783C}"/>
            </a:ext>
          </a:extLst>
        </xdr:cNvPr>
        <xdr:cNvSpPr/>
      </xdr:nvSpPr>
      <xdr:spPr>
        <a:xfrm>
          <a:off x="14340542" y="7049246"/>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4</xdr:col>
      <xdr:colOff>149411</xdr:colOff>
      <xdr:row>26</xdr:row>
      <xdr:rowOff>134471</xdr:rowOff>
    </xdr:from>
    <xdr:to>
      <xdr:col>5</xdr:col>
      <xdr:colOff>89647</xdr:colOff>
      <xdr:row>28</xdr:row>
      <xdr:rowOff>14941</xdr:rowOff>
    </xdr:to>
    <xdr:sp macro="[0]!save1" textlink="">
      <xdr:nvSpPr>
        <xdr:cNvPr id="3" name="角丸四角形 2">
          <a:extLst>
            <a:ext uri="{FF2B5EF4-FFF2-40B4-BE49-F238E27FC236}">
              <a16:creationId xmlns:a16="http://schemas.microsoft.com/office/drawing/2014/main" id="{7B92ED2E-1C96-7948-9471-125EEA6CF512}"/>
            </a:ext>
          </a:extLst>
        </xdr:cNvPr>
        <xdr:cNvSpPr/>
      </xdr:nvSpPr>
      <xdr:spPr>
        <a:xfrm>
          <a:off x="3780117" y="7052236"/>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10</xdr:col>
      <xdr:colOff>167340</xdr:colOff>
      <xdr:row>26</xdr:row>
      <xdr:rowOff>122518</xdr:rowOff>
    </xdr:from>
    <xdr:to>
      <xdr:col>11</xdr:col>
      <xdr:colOff>107576</xdr:colOff>
      <xdr:row>28</xdr:row>
      <xdr:rowOff>2988</xdr:rowOff>
    </xdr:to>
    <xdr:sp macro="[0]!save2" textlink="">
      <xdr:nvSpPr>
        <xdr:cNvPr id="17" name="角丸四角形 16">
          <a:extLst>
            <a:ext uri="{FF2B5EF4-FFF2-40B4-BE49-F238E27FC236}">
              <a16:creationId xmlns:a16="http://schemas.microsoft.com/office/drawing/2014/main" id="{C055E430-0B4B-D445-8B89-17B9C84BCBD1}"/>
            </a:ext>
          </a:extLst>
        </xdr:cNvPr>
        <xdr:cNvSpPr/>
      </xdr:nvSpPr>
      <xdr:spPr>
        <a:xfrm>
          <a:off x="6756399" y="7040283"/>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16</xdr:col>
      <xdr:colOff>185269</xdr:colOff>
      <xdr:row>26</xdr:row>
      <xdr:rowOff>125506</xdr:rowOff>
    </xdr:from>
    <xdr:to>
      <xdr:col>17</xdr:col>
      <xdr:colOff>125505</xdr:colOff>
      <xdr:row>28</xdr:row>
      <xdr:rowOff>5976</xdr:rowOff>
    </xdr:to>
    <xdr:sp macro="[0]!save3" textlink="">
      <xdr:nvSpPr>
        <xdr:cNvPr id="18" name="角丸四角形 17">
          <a:extLst>
            <a:ext uri="{FF2B5EF4-FFF2-40B4-BE49-F238E27FC236}">
              <a16:creationId xmlns:a16="http://schemas.microsoft.com/office/drawing/2014/main" id="{5B747787-606D-B846-9EDB-D73ED0BDFB4C}"/>
            </a:ext>
          </a:extLst>
        </xdr:cNvPr>
        <xdr:cNvSpPr/>
      </xdr:nvSpPr>
      <xdr:spPr>
        <a:xfrm>
          <a:off x="9732681" y="7043271"/>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22</xdr:col>
      <xdr:colOff>218140</xdr:colOff>
      <xdr:row>26</xdr:row>
      <xdr:rowOff>143435</xdr:rowOff>
    </xdr:from>
    <xdr:to>
      <xdr:col>23</xdr:col>
      <xdr:colOff>158376</xdr:colOff>
      <xdr:row>28</xdr:row>
      <xdr:rowOff>23905</xdr:rowOff>
    </xdr:to>
    <xdr:sp macro="[0]!save4" textlink="">
      <xdr:nvSpPr>
        <xdr:cNvPr id="19" name="角丸四角形 18">
          <a:extLst>
            <a:ext uri="{FF2B5EF4-FFF2-40B4-BE49-F238E27FC236}">
              <a16:creationId xmlns:a16="http://schemas.microsoft.com/office/drawing/2014/main" id="{F8FEB439-273F-FC48-B16B-97CFD53FF7D3}"/>
            </a:ext>
          </a:extLst>
        </xdr:cNvPr>
        <xdr:cNvSpPr/>
      </xdr:nvSpPr>
      <xdr:spPr>
        <a:xfrm>
          <a:off x="12723905" y="7061200"/>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28</xdr:col>
      <xdr:colOff>236070</xdr:colOff>
      <xdr:row>26</xdr:row>
      <xdr:rowOff>116541</xdr:rowOff>
    </xdr:from>
    <xdr:to>
      <xdr:col>29</xdr:col>
      <xdr:colOff>176306</xdr:colOff>
      <xdr:row>27</xdr:row>
      <xdr:rowOff>251011</xdr:rowOff>
    </xdr:to>
    <xdr:sp macro="[0]!save5" textlink="">
      <xdr:nvSpPr>
        <xdr:cNvPr id="20" name="角丸四角形 19">
          <a:extLst>
            <a:ext uri="{FF2B5EF4-FFF2-40B4-BE49-F238E27FC236}">
              <a16:creationId xmlns:a16="http://schemas.microsoft.com/office/drawing/2014/main" id="{CC804601-DEF1-9D4C-A6EF-55557CB7B4B6}"/>
            </a:ext>
          </a:extLst>
        </xdr:cNvPr>
        <xdr:cNvSpPr/>
      </xdr:nvSpPr>
      <xdr:spPr>
        <a:xfrm>
          <a:off x="15700188" y="7034306"/>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topLeftCell="A2" workbookViewId="0">
      <selection activeCell="C8" sqref="C8"/>
    </sheetView>
  </sheetViews>
  <sheetFormatPr baseColWidth="10" defaultRowHeight="20"/>
  <cols>
    <col min="2" max="2" width="20.7109375" customWidth="1"/>
    <col min="3" max="3" width="118.85546875" customWidth="1"/>
  </cols>
  <sheetData>
    <row r="1" spans="2:3" ht="21" thickBot="1"/>
    <row r="2" spans="2:3" ht="84">
      <c r="B2" s="17" t="s">
        <v>93</v>
      </c>
      <c r="C2" s="18" t="s">
        <v>268</v>
      </c>
    </row>
    <row r="3" spans="2:3" ht="22" thickBot="1">
      <c r="B3" s="19" t="s">
        <v>91</v>
      </c>
      <c r="C3" s="20" t="s">
        <v>92</v>
      </c>
    </row>
    <row r="4" spans="2:3" ht="21" thickBot="1">
      <c r="C4" s="15"/>
    </row>
    <row r="5" spans="2:3">
      <c r="B5" s="17" t="s">
        <v>90</v>
      </c>
      <c r="C5" s="13"/>
    </row>
    <row r="6" spans="2:3" s="15" customFormat="1" ht="175" customHeight="1">
      <c r="B6" s="31" t="s">
        <v>224</v>
      </c>
      <c r="C6" s="22" t="s">
        <v>277</v>
      </c>
    </row>
    <row r="7" spans="2:3" s="15" customFormat="1" ht="48" customHeight="1">
      <c r="B7" s="31" t="s">
        <v>223</v>
      </c>
      <c r="C7" s="21" t="s">
        <v>278</v>
      </c>
    </row>
    <row r="8" spans="2:3" s="15" customFormat="1" ht="37" customHeight="1">
      <c r="B8" s="31" t="s">
        <v>225</v>
      </c>
      <c r="C8" s="21" t="s">
        <v>233</v>
      </c>
    </row>
    <row r="9" spans="2:3" s="15" customFormat="1" ht="37" customHeight="1">
      <c r="B9" s="31" t="s">
        <v>227</v>
      </c>
      <c r="C9" s="22" t="s">
        <v>226</v>
      </c>
    </row>
    <row r="10" spans="2:3" s="15" customFormat="1" ht="45" customHeight="1">
      <c r="B10" s="32" t="s">
        <v>228</v>
      </c>
      <c r="C10" s="33" t="s">
        <v>229</v>
      </c>
    </row>
    <row r="11" spans="2:3" s="15" customFormat="1" ht="49" customHeight="1" thickBot="1">
      <c r="B11" s="34" t="s">
        <v>230</v>
      </c>
      <c r="C11" s="20" t="s">
        <v>231</v>
      </c>
    </row>
    <row r="12" spans="2:3">
      <c r="C12" s="15"/>
    </row>
    <row r="13" spans="2:3" ht="21">
      <c r="C13" s="16" t="s">
        <v>94</v>
      </c>
    </row>
    <row r="14" spans="2:3" ht="21">
      <c r="C14" s="16" t="s">
        <v>232</v>
      </c>
    </row>
    <row r="15" spans="2:3">
      <c r="C15" s="15"/>
    </row>
    <row r="16" spans="2:3">
      <c r="C16" s="15"/>
    </row>
  </sheetData>
  <sheetProtection algorithmName="SHA-512" hashValue="I2iH9U3pDMn0VVJp2XnUFU11hZgm6dcWffLM0bYVvkI2r1cUHYhpTg21SrauW+UuuhplRKBVoPHdQRQx/YdOkQ==" saltValue="lpFF72/7V7MBBY3FsoO7Z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D44"/>
  <sheetViews>
    <sheetView zoomScale="85" workbookViewId="0">
      <selection activeCell="C22" sqref="C22:D22"/>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 min="32" max="32" width="10.7109375" customWidth="1"/>
  </cols>
  <sheetData>
    <row r="1" spans="2:30" ht="21" thickBot="1">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row>
    <row r="2" spans="2:30">
      <c r="C2" s="79" t="s">
        <v>0</v>
      </c>
      <c r="D2" s="80"/>
      <c r="E2" s="80" t="s">
        <v>8</v>
      </c>
      <c r="F2" s="81"/>
      <c r="G2" s="64"/>
      <c r="H2" s="65"/>
      <c r="I2" s="79" t="s">
        <v>0</v>
      </c>
      <c r="J2" s="80"/>
      <c r="K2" s="80" t="s">
        <v>8</v>
      </c>
      <c r="L2" s="81"/>
      <c r="M2" s="64"/>
      <c r="N2" s="65"/>
      <c r="O2" s="79" t="s">
        <v>0</v>
      </c>
      <c r="P2" s="80"/>
      <c r="Q2" s="80" t="s">
        <v>8</v>
      </c>
      <c r="R2" s="81"/>
      <c r="S2" s="64"/>
      <c r="T2" s="65"/>
      <c r="U2" s="79" t="s">
        <v>0</v>
      </c>
      <c r="V2" s="80"/>
      <c r="W2" s="80" t="s">
        <v>8</v>
      </c>
      <c r="X2" s="81"/>
      <c r="Y2" s="64"/>
      <c r="Z2" s="65"/>
      <c r="AA2" s="79" t="s">
        <v>0</v>
      </c>
      <c r="AB2" s="80"/>
      <c r="AC2" s="80" t="s">
        <v>8</v>
      </c>
      <c r="AD2" s="81"/>
    </row>
    <row r="3" spans="2:30" ht="22" customHeight="1" thickBot="1">
      <c r="C3" s="87"/>
      <c r="D3" s="73"/>
      <c r="E3" s="73"/>
      <c r="F3" s="74"/>
      <c r="G3" s="64"/>
      <c r="H3" s="65"/>
      <c r="I3" s="87"/>
      <c r="J3" s="73"/>
      <c r="K3" s="73"/>
      <c r="L3" s="74"/>
      <c r="M3" s="64"/>
      <c r="N3" s="65"/>
      <c r="O3" s="87"/>
      <c r="P3" s="73"/>
      <c r="Q3" s="73"/>
      <c r="R3" s="74"/>
      <c r="S3" s="64"/>
      <c r="T3" s="65"/>
      <c r="U3" s="87"/>
      <c r="V3" s="73"/>
      <c r="W3" s="73"/>
      <c r="X3" s="74"/>
      <c r="Y3" s="64"/>
      <c r="Z3" s="65"/>
      <c r="AA3" s="87"/>
      <c r="AB3" s="73"/>
      <c r="AC3" s="73"/>
      <c r="AD3" s="74"/>
    </row>
    <row r="4" spans="2:30" ht="22" customHeight="1" thickBot="1">
      <c r="C4" s="1"/>
      <c r="D4" s="1"/>
      <c r="F4" s="1"/>
      <c r="G4" s="66"/>
      <c r="H4" s="66"/>
      <c r="I4" s="1"/>
      <c r="J4" s="1"/>
      <c r="L4" s="1"/>
      <c r="M4" s="66"/>
      <c r="N4" s="66"/>
      <c r="O4" s="1"/>
      <c r="P4" s="1"/>
      <c r="R4" s="1"/>
      <c r="S4" s="66"/>
      <c r="T4" s="66"/>
      <c r="U4" s="1"/>
      <c r="V4" s="1"/>
      <c r="X4" s="1"/>
      <c r="Y4" s="66"/>
      <c r="Z4" s="66"/>
      <c r="AA4" s="1"/>
      <c r="AB4" s="1"/>
      <c r="AD4" s="1"/>
    </row>
    <row r="5" spans="2:30" ht="21" thickBot="1">
      <c r="B5" s="5"/>
      <c r="C5" s="88" t="s">
        <v>69</v>
      </c>
      <c r="D5" s="89"/>
      <c r="E5" s="89"/>
      <c r="F5" s="90"/>
      <c r="G5" s="64"/>
      <c r="H5" s="65"/>
      <c r="I5" s="88" t="s">
        <v>69</v>
      </c>
      <c r="J5" s="89"/>
      <c r="K5" s="89"/>
      <c r="L5" s="90"/>
      <c r="M5" s="64"/>
      <c r="N5" s="65"/>
      <c r="O5" s="88" t="s">
        <v>69</v>
      </c>
      <c r="P5" s="89"/>
      <c r="Q5" s="89"/>
      <c r="R5" s="90"/>
      <c r="S5" s="64"/>
      <c r="T5" s="65"/>
      <c r="U5" s="88" t="s">
        <v>69</v>
      </c>
      <c r="V5" s="89"/>
      <c r="W5" s="89"/>
      <c r="X5" s="90"/>
      <c r="Y5" s="64"/>
      <c r="Z5" s="65"/>
      <c r="AA5" s="88" t="s">
        <v>69</v>
      </c>
      <c r="AB5" s="89"/>
      <c r="AC5" s="89"/>
      <c r="AD5" s="90"/>
    </row>
    <row r="6" spans="2:30" ht="21" thickBot="1">
      <c r="B6" s="56" t="s">
        <v>74</v>
      </c>
      <c r="C6" s="91">
        <f>IFERROR(DGET(カード一覧!$A:$Q,カード一覧!$P$1, C2:F3), )</f>
        <v>0</v>
      </c>
      <c r="D6" s="92"/>
      <c r="E6" s="92"/>
      <c r="F6" s="93"/>
      <c r="G6" s="64"/>
      <c r="H6" s="65"/>
      <c r="I6" s="83">
        <f>IFERROR(DGET(カード一覧!$A:$Q,カード一覧!$P$1, I2:L3), )</f>
        <v>0</v>
      </c>
      <c r="J6" s="86"/>
      <c r="K6" s="86"/>
      <c r="L6" s="84"/>
      <c r="M6" s="64"/>
      <c r="N6" s="65"/>
      <c r="O6" s="83">
        <f>IFERROR(DGET(カード一覧!$A:$Q,カード一覧!$P$1, O2:R3), )</f>
        <v>0</v>
      </c>
      <c r="P6" s="86"/>
      <c r="Q6" s="86"/>
      <c r="R6" s="84"/>
      <c r="S6" s="64"/>
      <c r="T6" s="65"/>
      <c r="U6" s="83">
        <f>IFERROR(DGET(カード一覧!$A:$Q,カード一覧!$P$1, U2:X3), )</f>
        <v>0</v>
      </c>
      <c r="V6" s="86"/>
      <c r="W6" s="86"/>
      <c r="X6" s="84"/>
      <c r="Y6" s="64"/>
      <c r="Z6" s="65"/>
      <c r="AA6" s="83">
        <f>IFERROR(DGET(カード一覧!$A:$Q,カード一覧!$P$1, AA2:AD3), )</f>
        <v>0</v>
      </c>
      <c r="AB6" s="86"/>
      <c r="AC6" s="86"/>
      <c r="AD6" s="84"/>
    </row>
    <row r="7" spans="2:30">
      <c r="B7" s="58" t="s">
        <v>71</v>
      </c>
      <c r="C7" s="51" t="str">
        <f>IF(COUNTIF($C$3:$AD$3,DGET(カード一覧!$A:$N,カード一覧!$N$1,C2:F3))&gt;0, DGET(カード一覧!$A:$N,カード一覧!$N$1,C2:F3), IF(COUNTIF($C$3:$AD$3,DGET(カード一覧!$A:$N,カード一覧!$M$1,C2:F3))&gt;0, DGET(カード一覧!$A:$N,カード一覧!$M$1,C2:F3), "カード選択"))</f>
        <v>カード選択</v>
      </c>
      <c r="D7" s="53" t="str">
        <f>IF(COUNTIF($C$3:$AD$3,DGET(カード一覧!$A:$N,カード一覧!$N$1,C2:F3))&gt;0, "中", IF(COUNTIF($C$3:$AD$3,DGET(カード一覧!$A:$M,カード一覧!$M$1,C2:F3))&gt;0, "小", "-"))</f>
        <v>-</v>
      </c>
      <c r="E7" s="77" t="str">
        <f>IFERROR(DGET(カード一覧!$A:$W,カード一覧!$R$1, C$2:F$3),"")</f>
        <v/>
      </c>
      <c r="F7" s="78"/>
      <c r="G7" s="66"/>
      <c r="H7" s="65"/>
      <c r="I7" s="25" t="str">
        <f>IF(COUNTIF($C$3:$AD$3,DGET(カード一覧!$A:$N,カード一覧!$N$1,I2:L3))&gt;0, DGET(カード一覧!$A:$N,カード一覧!$N$1,I2:L3), IF(COUNTIF($C$3:$AD$3,DGET(カード一覧!$A:$N,カード一覧!$M$1,I2:L3))&gt;0, DGET(カード一覧!$A:$N,カード一覧!$M$1,I2:L3), "カード選択"))</f>
        <v>カード選択</v>
      </c>
      <c r="J7" s="26" t="str">
        <f>IF(COUNTIF($C$3:$AD$3,DGET(カード一覧!$A:$N,カード一覧!$N$1,I2:L3))&gt;0, "中", IF(COUNTIF($C$3:$AD$3,DGET(カード一覧!$A:$M,カード一覧!$M$1,I2:L3))&gt;0, "小", "-"))</f>
        <v>-</v>
      </c>
      <c r="K7" s="77" t="str">
        <f>IFERROR(DGET(カード一覧!$A:$W,カード一覧!$R$1, I$2:L$3),"")</f>
        <v/>
      </c>
      <c r="L7" s="78"/>
      <c r="M7" s="64"/>
      <c r="N7" s="65"/>
      <c r="O7" s="25" t="str">
        <f>IF(COUNTIF($C$3:$AD$3,DGET(カード一覧!$A:$N,カード一覧!$N$1,O2:R3))&gt;0, DGET(カード一覧!$A:$N,カード一覧!$N$1,O2:R3), IF(COUNTIF($C$3:$AD$3,DGET(カード一覧!$A:$N,カード一覧!$M$1,O2:R3))&gt;0, DGET(カード一覧!$A:$N,カード一覧!$M$1,O2:R3), "カード選択"))</f>
        <v>カード選択</v>
      </c>
      <c r="P7" s="26" t="str">
        <f>IF(COUNTIF($C$3:$AD$3,DGET(カード一覧!$A:$N,カード一覧!$N$1,O2:R3))&gt;0, "中", IF(COUNTIF($C$3:$AD$3,DGET(カード一覧!$A:$M,カード一覧!$M$1,O2:R3))&gt;0, "小", "-"))</f>
        <v>-</v>
      </c>
      <c r="Q7" s="77" t="str">
        <f>IFERROR(DGET(カード一覧!$A:$W,カード一覧!$R$1, O$2:R$3),"")</f>
        <v/>
      </c>
      <c r="R7" s="78"/>
      <c r="S7" s="64"/>
      <c r="T7" s="65"/>
      <c r="U7" s="25" t="str">
        <f>IF(COUNTIF($C$3:$AD$3,DGET(カード一覧!$A:$N,カード一覧!$N$1,U2:X3))&gt;0, DGET(カード一覧!$A:$N,カード一覧!$N$1,U2:X3), IF(COUNTIF($C$3:$AD$3,DGET(カード一覧!$A:$N,カード一覧!$M$1,U2:X3))&gt;0, DGET(カード一覧!$A:$N,カード一覧!$M$1,U2:X3), "カード選択"))</f>
        <v>カード選択</v>
      </c>
      <c r="V7" s="26" t="str">
        <f>IF(COUNTIF($C$3:$AD$3,DGET(カード一覧!$A:$N,カード一覧!$N$1,U2:X3))&gt;0, "中", IF(COUNTIF($C$3:$AD$3,DGET(カード一覧!$A:$M,カード一覧!$M$1,U2:X3))&gt;0, "小", "-"))</f>
        <v>-</v>
      </c>
      <c r="W7" s="77" t="str">
        <f>IFERROR(DGET(カード一覧!$A:$W,カード一覧!$R$1, U$2:X$3),"")</f>
        <v/>
      </c>
      <c r="X7" s="78"/>
      <c r="Y7" s="64"/>
      <c r="Z7" s="65"/>
      <c r="AA7" s="25" t="str">
        <f>IF(COUNTIF($C$3:$AD$3,DGET(カード一覧!$A:$N,カード一覧!$N$1,AA2:AD3))&gt;0, DGET(カード一覧!$A:$N,カード一覧!$N$1,AA2:AD3), IF(COUNTIF($C$3:$AD$3,DGET(カード一覧!$A:$N,カード一覧!$M$1,AA2:AD3))&gt;0, DGET(カード一覧!$A:$N,カード一覧!$M$1,AA2:AD3), "カード選択"))</f>
        <v>カード選択</v>
      </c>
      <c r="AB7" s="26" t="str">
        <f>IF(COUNTIF($C$3:$AD$3,DGET(カード一覧!$A:$N,カード一覧!$N$1,AA2:AD3))&gt;0, "中", IF(COUNTIF($C$3:$AD$3,DGET(カード一覧!$A:$M,カード一覧!$M$1,AA2:AD3))&gt;0, "小", "-"))</f>
        <v>-</v>
      </c>
      <c r="AC7" s="77" t="str">
        <f>IFERROR(DGET(カード一覧!$A:$W,カード一覧!$R$1, AA$2:AD$3),"")</f>
        <v/>
      </c>
      <c r="AD7" s="78"/>
    </row>
    <row r="8" spans="2:30" ht="21" thickBot="1">
      <c r="B8" s="59"/>
      <c r="C8" s="27" t="str">
        <f>IF(COUNTIF($C$3:$AD$3,DGET(カード一覧!$A:$N,カード一覧!$L$1,C2:F3))&gt;0, DGET(カード一覧!$A:$N,カード一覧!$L$1,C2:F3), "カード選択")</f>
        <v>カード選択</v>
      </c>
      <c r="D8" s="54" t="str">
        <f>IF(COUNTIF($C$3:$AD$3,DGET(カード一覧!$A:$N,カード一覧!$L$1,C2:F3))&gt;0,"小","-")</f>
        <v>-</v>
      </c>
      <c r="E8" s="73" t="str">
        <f>IFERROR(DGET(カード一覧!$A:$W,カード一覧!$S$1, C$2:F$3),"")</f>
        <v/>
      </c>
      <c r="F8" s="74"/>
      <c r="G8" s="66"/>
      <c r="H8" s="65"/>
      <c r="I8" s="27" t="str">
        <f>IF(COUNTIF($C$3:$AD$3,DGET(カード一覧!$A:$N,カード一覧!$L$1,I2:L3))&gt;0, DGET(カード一覧!$A:$N,カード一覧!$L$1,I2:L3), "カード選択")</f>
        <v>カード選択</v>
      </c>
      <c r="J8" s="28" t="str">
        <f>IF(COUNTIF($C$3:$AD$3,DGET(カード一覧!$A:$N,カード一覧!$L$1,I2:L3))&gt;0,"小","-")</f>
        <v>-</v>
      </c>
      <c r="K8" s="73" t="str">
        <f>IFERROR(DGET(カード一覧!$A:$W,カード一覧!$S$1, I$2:L$3),"")</f>
        <v/>
      </c>
      <c r="L8" s="74"/>
      <c r="M8" s="64"/>
      <c r="N8" s="65"/>
      <c r="O8" s="27" t="str">
        <f>IF(COUNTIF($C$3:$AD$3,DGET(カード一覧!$A:$N,カード一覧!$L$1,O2:R3))&gt;0, DGET(カード一覧!$A:$N,カード一覧!$L$1,O2:R3), "カード選択")</f>
        <v>カード選択</v>
      </c>
      <c r="P8" s="28" t="str">
        <f>IF(COUNTIF($C$3:$AD$3,DGET(カード一覧!$A:$N,カード一覧!$L$1,O2:R3))&gt;0,"小","-")</f>
        <v>-</v>
      </c>
      <c r="Q8" s="73" t="str">
        <f>IFERROR(DGET(カード一覧!$A:$W,カード一覧!$S$1, O$2:R$3),"")</f>
        <v/>
      </c>
      <c r="R8" s="74"/>
      <c r="S8" s="64"/>
      <c r="T8" s="65"/>
      <c r="U8" s="27" t="str">
        <f>IF(COUNTIF($C$3:$AD$3,DGET(カード一覧!$A:$N,カード一覧!$L$1,U2:X3))&gt;0, DGET(カード一覧!$A:$N,カード一覧!$L$1,U2:X3), "カード選択")</f>
        <v>カード選択</v>
      </c>
      <c r="V8" s="28" t="str">
        <f>IF(COUNTIF($C$3:$AD$3,DGET(カード一覧!$A:$N,カード一覧!$L$1,U2:X3))&gt;0,"小","-")</f>
        <v>-</v>
      </c>
      <c r="W8" s="73" t="str">
        <f>IFERROR(DGET(カード一覧!$A:$W,カード一覧!$S$1, U$2:X$3),"")</f>
        <v/>
      </c>
      <c r="X8" s="74"/>
      <c r="Y8" s="64"/>
      <c r="Z8" s="65"/>
      <c r="AA8" s="27" t="str">
        <f>IF(COUNTIF($C$3:$AD$3,DGET(カード一覧!$A:$N,カード一覧!$L$1,AA2:AD3))&gt;0, DGET(カード一覧!$A:$N,カード一覧!$L$1,AA2:AD3), "カード選択")</f>
        <v>カード選択</v>
      </c>
      <c r="AB8" s="28" t="str">
        <f>IF(COUNTIF($C$3:$AD$3,DGET(カード一覧!$A:$N,カード一覧!$L$1,AA2:AD3))&gt;0,"小","-")</f>
        <v>-</v>
      </c>
      <c r="AC8" s="73" t="str">
        <f>IFERROR(DGET(カード一覧!$A:$W,カード一覧!$S$1, AA$2:AD$3),"")</f>
        <v/>
      </c>
      <c r="AD8" s="74"/>
    </row>
    <row r="9" spans="2:30" ht="21" thickBot="1">
      <c r="B9" s="2"/>
      <c r="G9" s="66"/>
      <c r="H9" s="66"/>
      <c r="M9" s="66"/>
      <c r="N9" s="66"/>
      <c r="S9" s="66"/>
      <c r="T9" s="66"/>
      <c r="Y9" s="66"/>
      <c r="Z9" s="66"/>
    </row>
    <row r="10" spans="2:30" ht="21" thickBot="1">
      <c r="B10" s="2"/>
      <c r="C10" s="71" t="s">
        <v>70</v>
      </c>
      <c r="D10" s="85"/>
      <c r="E10" s="85"/>
      <c r="F10" s="72"/>
      <c r="G10" s="64"/>
      <c r="H10" s="65"/>
      <c r="I10" s="71" t="s">
        <v>70</v>
      </c>
      <c r="J10" s="85"/>
      <c r="K10" s="85"/>
      <c r="L10" s="72"/>
      <c r="M10" s="64"/>
      <c r="N10" s="65"/>
      <c r="O10" s="71" t="s">
        <v>70</v>
      </c>
      <c r="P10" s="85"/>
      <c r="Q10" s="85"/>
      <c r="R10" s="72"/>
      <c r="S10" s="64"/>
      <c r="T10" s="65"/>
      <c r="U10" s="71" t="s">
        <v>70</v>
      </c>
      <c r="V10" s="85"/>
      <c r="W10" s="85"/>
      <c r="X10" s="72"/>
      <c r="Y10" s="64"/>
      <c r="Z10" s="65"/>
      <c r="AA10" s="71" t="s">
        <v>70</v>
      </c>
      <c r="AB10" s="85"/>
      <c r="AC10" s="85"/>
      <c r="AD10" s="72"/>
    </row>
    <row r="11" spans="2:30" ht="21" thickBot="1">
      <c r="B11" s="10" t="s">
        <v>74</v>
      </c>
      <c r="C11" s="91">
        <f>IFERROR(DGET(カード一覧!$A:$Q,カード一覧!$Q$1, C2:F3), )</f>
        <v>0</v>
      </c>
      <c r="D11" s="92"/>
      <c r="E11" s="92"/>
      <c r="F11" s="93"/>
      <c r="G11" s="64"/>
      <c r="H11" s="65"/>
      <c r="I11" s="83">
        <f>IFERROR(DGET(カード一覧!$A:$Q,カード一覧!$Q$1, I2:L3), )</f>
        <v>0</v>
      </c>
      <c r="J11" s="86"/>
      <c r="K11" s="86"/>
      <c r="L11" s="84"/>
      <c r="M11" s="64"/>
      <c r="N11" s="65"/>
      <c r="O11" s="83">
        <f>IFERROR(DGET(カード一覧!$A:$Q,カード一覧!$Q$1, O2:R3), )</f>
        <v>0</v>
      </c>
      <c r="P11" s="86"/>
      <c r="Q11" s="86"/>
      <c r="R11" s="84"/>
      <c r="S11" s="64"/>
      <c r="T11" s="65"/>
      <c r="U11" s="83">
        <f>IFERROR(DGET(カード一覧!$A:$Q,カード一覧!$Q$1, U2:X3), )</f>
        <v>0</v>
      </c>
      <c r="V11" s="86"/>
      <c r="W11" s="86"/>
      <c r="X11" s="84"/>
      <c r="Y11" s="64"/>
      <c r="Z11" s="65"/>
      <c r="AA11" s="83">
        <f>IFERROR(DGET(カード一覧!$A:$Q,カード一覧!$Q$1, AA2:AD3), )</f>
        <v>0</v>
      </c>
      <c r="AB11" s="86"/>
      <c r="AC11" s="86"/>
      <c r="AD11" s="84"/>
    </row>
    <row r="12" spans="2:30">
      <c r="B12" s="58" t="s">
        <v>71</v>
      </c>
      <c r="C12" s="29" t="str">
        <f>IF(COUNTIF($C$3:$AD$3,DGET(カード一覧!$A:$N,カード一覧!$K$1,C2:F3))&gt;0, DGET(カード一覧!$A:$N,カード一覧!$K$1,C2:F3), IF(COUNTIF($C$3:$AD$3,DGET(カード一覧!$A:$N,カード一覧!$J$1,C2:F3))&gt;0, DGET(カード一覧!$A:$N,カード一覧!$J$1,C2:F3), "カード選択"))</f>
        <v>カード選択</v>
      </c>
      <c r="D12" s="52" t="str">
        <f>IF(COUNTIF($C$3:$AD$3,DGET(カード一覧!$A:$N,カード一覧!$K$1,C2:F3))&gt;0, "中", IF(COUNTIF($C$3:$AD$3, DGET(カード一覧!$A:$N,カード一覧!$J$1,C2:F3))&gt;0, "小", "-"))</f>
        <v>-</v>
      </c>
      <c r="E12" s="77" t="str">
        <f>IFERROR(DGET(カード一覧!$A:$W,カード一覧!$T$1, C$2:F$3),"")</f>
        <v/>
      </c>
      <c r="F12" s="78"/>
      <c r="G12" s="66"/>
      <c r="H12" s="65"/>
      <c r="I12" s="29" t="str">
        <f>IF(COUNTIF($C$3:$AD$3,DGET(カード一覧!$A:$N,カード一覧!$K$1,I2:L3))&gt;0, DGET(カード一覧!$A:$N,カード一覧!$K$1,I2:L3), IF(COUNTIF($C$3:$AD$3,DGET(カード一覧!$A:$N,カード一覧!$J$1,I2:L3))&gt;0, DGET(カード一覧!$A:$N,カード一覧!$J$1,I2:L3), "カード選択"))</f>
        <v>カード選択</v>
      </c>
      <c r="J12" s="52" t="str">
        <f>IF(COUNTIF($C$3:$AD$3,DGET(カード一覧!$A:$N,カード一覧!$K$1,I2:L3))&gt;0, "中", IF(COUNTIF($C$3:$AD$3, DGET(カード一覧!$A:$N,カード一覧!$J$1,I2:L3))&gt;0, "小", "-"))</f>
        <v>-</v>
      </c>
      <c r="K12" s="77" t="str">
        <f>IFERROR(DGET(カード一覧!$A:$W,カード一覧!$T$1, I$2:L$3),"")</f>
        <v/>
      </c>
      <c r="L12" s="78"/>
      <c r="M12" s="64"/>
      <c r="N12" s="65"/>
      <c r="O12" s="29" t="str">
        <f>IF(COUNTIF($C$3:$AD$3,DGET(カード一覧!$A:$N,カード一覧!$K$1,O2:R3))&gt;0, DGET(カード一覧!$A:$N,カード一覧!$K$1,O2:R3), IF(COUNTIF($C$3:$AD$3,DGET(カード一覧!$A:$N,カード一覧!$J$1,O2:R3))&gt;0, DGET(カード一覧!$A:$N,カード一覧!$J$1,O2:R3), "カード選択"))</f>
        <v>カード選択</v>
      </c>
      <c r="P12" s="52" t="str">
        <f>IF(COUNTIF($C$3:$AD$3,DGET(カード一覧!$A:$N,カード一覧!$K$1,O2:R3))&gt;0, "中", IF(COUNTIF($C$3:$AD$3, DGET(カード一覧!$A:$N,カード一覧!$J$1,O2:R3))&gt;0, "小", "-"))</f>
        <v>-</v>
      </c>
      <c r="Q12" s="77" t="str">
        <f>IFERROR(DGET(カード一覧!$A:$W,カード一覧!$T$1, O$2:R$3),"")</f>
        <v/>
      </c>
      <c r="R12" s="78"/>
      <c r="S12" s="64"/>
      <c r="T12" s="65"/>
      <c r="U12" s="29" t="str">
        <f>IF(COUNTIF($C$3:$AD$3,DGET(カード一覧!$A:$N,カード一覧!$K$1,U2:X3))&gt;0, DGET(カード一覧!$A:$N,カード一覧!$K$1,U2:X3), IF(COUNTIF($C$3:$AD$3,DGET(カード一覧!$A:$N,カード一覧!$J$1,U2:X3))&gt;0, DGET(カード一覧!$A:$N,カード一覧!$J$1,U2:X3), "カード選択"))</f>
        <v>カード選択</v>
      </c>
      <c r="V12" s="52" t="str">
        <f>IF(COUNTIF($C$3:$AD$3,DGET(カード一覧!$A:$N,カード一覧!$K$1,U2:X3))&gt;0, "中", IF(COUNTIF($C$3:$AD$3, DGET(カード一覧!$A:$N,カード一覧!$J$1,U2:X3))&gt;0, "小", "-"))</f>
        <v>-</v>
      </c>
      <c r="W12" s="77" t="str">
        <f>IFERROR(DGET(カード一覧!$A:$W,カード一覧!$T$1, U$2:X$3),"")</f>
        <v/>
      </c>
      <c r="X12" s="78"/>
      <c r="Y12" s="64"/>
      <c r="Z12" s="65"/>
      <c r="AA12" s="29" t="str">
        <f>IF(COUNTIF($C$3:$AD$3,DGET(カード一覧!$A:$N,カード一覧!$K$1,AA2:AD3))&gt;0, DGET(カード一覧!$A:$N,カード一覧!$K$1,AA2:AD3), IF(COUNTIF($C$3:$AD$3,DGET(カード一覧!$A:$N,カード一覧!$J$1,AA2:AD3))&gt;0, DGET(カード一覧!$A:$N,カード一覧!$J$1,AA2:AD3), "カード選択"))</f>
        <v>カード選択</v>
      </c>
      <c r="AB12" s="52" t="str">
        <f>IF(COUNTIF($C$3:$AD$3,DGET(カード一覧!$A:$N,カード一覧!$K$1,AA2:AD3))&gt;0, "中", IF(COUNTIF($C$3:$AD$3, DGET(カード一覧!$A:$N,カード一覧!$J$1,AA2:AD3))&gt;0, "小", "-"))</f>
        <v>-</v>
      </c>
      <c r="AC12" s="77" t="str">
        <f>IFERROR(DGET(カード一覧!$A:$W,カード一覧!$T$1, AA$2:AD$3),"")</f>
        <v/>
      </c>
      <c r="AD12" s="78"/>
    </row>
    <row r="13" spans="2:30" ht="21" thickBot="1">
      <c r="B13" s="59"/>
      <c r="C13" s="30" t="str">
        <f>IF(COUNTIF($C$3:$AD$3,DGET(カード一覧!$A:$N,カード一覧!$I$1,C2:F3))&gt;0, DGET(カード一覧!$A:$N,カード一覧!$I$1,C2:F3), "カード選択")</f>
        <v>カード選択</v>
      </c>
      <c r="D13" s="28" t="str">
        <f>IF(COUNTIF($C$3:$AD$3,DGET(カード一覧!$A:$N,カード一覧!$I$1,C2:F3))&gt;0, "小", "-")</f>
        <v>-</v>
      </c>
      <c r="E13" s="73" t="str">
        <f>IFERROR(DGET(カード一覧!$A:$W,カード一覧!$U$1, C$2:F$3),"")</f>
        <v/>
      </c>
      <c r="F13" s="74"/>
      <c r="G13" s="66"/>
      <c r="H13" s="65"/>
      <c r="I13" s="30" t="str">
        <f>IF(COUNTIF($C$3:$AD$3,DGET(カード一覧!$A:$N,カード一覧!$I$1,I2:L3))&gt;0, DGET(カード一覧!$A:$N,カード一覧!$I$1,I2:L3), "カード選択")</f>
        <v>カード選択</v>
      </c>
      <c r="J13" s="28" t="str">
        <f>IF(COUNTIF($C$3:$AD$3,DGET(カード一覧!$A:$N,カード一覧!$I$1,I2:L3))&gt;0, "小", "-")</f>
        <v>-</v>
      </c>
      <c r="K13" s="73" t="str">
        <f>IFERROR(DGET(カード一覧!$A:$W,カード一覧!$U$1, I$2:L$3),"")</f>
        <v/>
      </c>
      <c r="L13" s="74"/>
      <c r="M13" s="64"/>
      <c r="N13" s="65"/>
      <c r="O13" s="30" t="str">
        <f>IF(COUNTIF($C$3:$AD$3,DGET(カード一覧!$A:$N,カード一覧!$I$1,O2:R3))&gt;0, DGET(カード一覧!$A:$N,カード一覧!$I$1,O2:R3), "カード選択")</f>
        <v>カード選択</v>
      </c>
      <c r="P13" s="28" t="str">
        <f>IF(COUNTIF($C$3:$AD$3,DGET(カード一覧!$A:$N,カード一覧!$I$1,O2:R3))&gt;0, "小", "-")</f>
        <v>-</v>
      </c>
      <c r="Q13" s="73" t="str">
        <f>IFERROR(DGET(カード一覧!$A:$W,カード一覧!$U$1, O$2:R$3),"")</f>
        <v/>
      </c>
      <c r="R13" s="74"/>
      <c r="S13" s="64"/>
      <c r="T13" s="65"/>
      <c r="U13" s="30" t="str">
        <f>IF(COUNTIF($C$3:$AD$3,DGET(カード一覧!$A:$N,カード一覧!$I$1,U2:X3))&gt;0, DGET(カード一覧!$A:$N,カード一覧!$I$1,U2:X3), "カード選択")</f>
        <v>カード選択</v>
      </c>
      <c r="V13" s="28" t="str">
        <f>IF(COUNTIF($C$3:$AD$3,DGET(カード一覧!$A:$N,カード一覧!$I$1,U2:X3))&gt;0, "小", "-")</f>
        <v>-</v>
      </c>
      <c r="W13" s="73" t="str">
        <f>IFERROR(DGET(カード一覧!$A:$W,カード一覧!$U$1, U$2:X$3),"")</f>
        <v/>
      </c>
      <c r="X13" s="74"/>
      <c r="Y13" s="64"/>
      <c r="Z13" s="65"/>
      <c r="AA13" s="30" t="str">
        <f>IF(COUNTIF($C$3:$AD$3,DGET(カード一覧!$A:$N,カード一覧!$I$1,AA2:AD3))&gt;0, DGET(カード一覧!$A:$N,カード一覧!$I$1,AA2:AD3), "カード選択")</f>
        <v>カード選択</v>
      </c>
      <c r="AB13" s="28" t="str">
        <f>IF(COUNTIF($C$3:$AD$3,DGET(カード一覧!$A:$N,カード一覧!$I$1,AA2:AD3))&gt;0, "小", "-")</f>
        <v>-</v>
      </c>
      <c r="AC13" s="73" t="str">
        <f>IFERROR(DGET(カード一覧!$A:$W,カード一覧!$U$1, AA$2:AD$3),"")</f>
        <v/>
      </c>
      <c r="AD13" s="74"/>
    </row>
    <row r="14" spans="2:30" ht="21" thickBot="1">
      <c r="B14" s="55" t="s">
        <v>83</v>
      </c>
      <c r="C14" s="62" t="str">
        <f>IFERROR(IF(C16&lt;5, DGET(MAGIC詳細!$A$2:$N$116,MAGIC詳細!$C$2,C2:F3),IF(C16&lt;10, DGET(MAGIC詳細!$A$2:$N$116,MAGIC詳細!$E$2,C2:F3), IF(C16=10, DGET(MAGIC詳細!$A$2:$N$116,MAGIC詳細!$G$2,C2:F3), "カード選択"))), "カード選択")</f>
        <v>カード選択</v>
      </c>
      <c r="D14" s="63"/>
      <c r="E14" s="94" t="str">
        <f>IFERROR(IF(E16&lt;5, DGET(MAGIC詳細!$A$2:$N$116,MAGIC詳細!$I$2,C2:F3),IF(E16&lt;10, DGET(MAGIC詳細!$A$2:$N$116,MAGIC詳細!$K$2,C2:F3), IF(E16=10, DGET(MAGIC詳細!$A$2:$N$116,MAGIC詳細!$M$2,C2:F3), "カード選択"))), "カード選択")</f>
        <v>カード選択</v>
      </c>
      <c r="F14" s="95"/>
      <c r="G14" s="64"/>
      <c r="H14" s="65"/>
      <c r="I14" s="71" t="str">
        <f>IFERROR(IF(I16&lt;5, DGET(MAGIC詳細!$A$2:$N$116,MAGIC詳細!$C$2,I2:L3),IF(I16&lt;10, DGET(MAGIC詳細!$A$2:$N$116,MAGIC詳細!$E$2,I2:L3), IF(I16=10, DGET(MAGIC詳細!$A$2:$N$116,MAGIC詳細!$G$2,I2:L3), "カード選択"))), "カード選択")</f>
        <v>カード選択</v>
      </c>
      <c r="J14" s="72"/>
      <c r="K14" s="75" t="str">
        <f>IFERROR(IF(K16&lt;5, DGET(MAGIC詳細!$A$2:$N$116,MAGIC詳細!$I$2,I2:L3),IF(K16&lt;10, DGET(MAGIC詳細!$A$2:$N$116,MAGIC詳細!$K$2,I2:L3), IF(K16=10, DGET(MAGIC詳細!$A$2:$N$116,MAGIC詳細!$M$2,I2:L3), "カード選択"))), "カード選択")</f>
        <v>カード選択</v>
      </c>
      <c r="L14" s="76"/>
      <c r="M14" s="64"/>
      <c r="N14" s="65"/>
      <c r="O14" s="71" t="str">
        <f>IFERROR(IF(O16&lt;5, DGET(MAGIC詳細!$A$2:$N$116,MAGIC詳細!$C$2,O2:R3),IF(O16&lt;10, DGET(MAGIC詳細!$A$2:$N$116,MAGIC詳細!$E$2,O2:R3), IF(O16=10, DGET(MAGIC詳細!$A$2:$N$116,MAGIC詳細!$G$2,O2:R3), "カード選択"))), "カード選択")</f>
        <v>カード選択</v>
      </c>
      <c r="P14" s="72"/>
      <c r="Q14" s="75" t="str">
        <f>IFERROR(IF(Q16&lt;5, DGET(MAGIC詳細!$A$2:$N$116,MAGIC詳細!$I$2,O2:R3),IF(Q16&lt;10, DGET(MAGIC詳細!$A$2:$N$116,MAGIC詳細!$K$2,O2:R3), IF(Q16=10, DGET(MAGIC詳細!$A$2:$N$116,MAGIC詳細!$M$2,O2:R3), "カード選択"))), "カード選択")</f>
        <v>カード選択</v>
      </c>
      <c r="R14" s="76"/>
      <c r="S14" s="64"/>
      <c r="T14" s="65"/>
      <c r="U14" s="71" t="str">
        <f>IFERROR(IF(U16&lt;5, DGET(MAGIC詳細!$A$2:$N$116,MAGIC詳細!$C$2,U2:X3),IF(U16&lt;10, DGET(MAGIC詳細!$A$2:$N$116,MAGIC詳細!$E$2,U2:X3), IF(U16=10, DGET(MAGIC詳細!$A$2:$N$116,MAGIC詳細!$G$2,U2:X3), "カード選択"))), "カード選択")</f>
        <v>カード選択</v>
      </c>
      <c r="V14" s="72"/>
      <c r="W14" s="75" t="str">
        <f>IFERROR(IF(W16&lt;5, DGET(MAGIC詳細!$A$2:$N$116,MAGIC詳細!$I$2,U2:X3),IF(W16&lt;10, DGET(MAGIC詳細!$A$2:$N$116,MAGIC詳細!$K$2,U2:X3), IF(W16=10, DGET(MAGIC詳細!$A$2:$N$116,MAGIC詳細!$M$2,U2:X3), "カード選択"))), "カード選択")</f>
        <v>カード選択</v>
      </c>
      <c r="X14" s="76"/>
      <c r="Y14" s="64"/>
      <c r="Z14" s="65"/>
      <c r="AA14" s="71" t="str">
        <f>IFERROR(IF(AA16&lt;5, DGET(MAGIC詳細!$A$2:$N$116,MAGIC詳細!$C$2,AA2:AD3),IF(AA16&lt;10, DGET(MAGIC詳細!$A$2:$N$116,MAGIC詳細!$E$2,AA2:AD3), IF(AA16=10, DGET(MAGIC詳細!$A$2:$N$116,MAGIC詳細!$G$2,AA2:AD3), "カード選択"))), "カード選択")</f>
        <v>カード選択</v>
      </c>
      <c r="AB14" s="72"/>
      <c r="AC14" s="75" t="str">
        <f>IFERROR(IF(AC16&lt;5, DGET(MAGIC詳細!$A$2:$N$116,MAGIC詳細!$I$2,AA2:AD3),IF(AC16&lt;10, DGET(MAGIC詳細!$A$2:$N$116,MAGIC詳細!$K$2,AA2:AD3), IF(AC16=10, DGET(MAGIC詳細!$A$2:$N$116,MAGIC詳細!$M$2,AA2:AD3), "カード選択"))), "カード選択")</f>
        <v>カード選択</v>
      </c>
      <c r="AD14" s="76"/>
    </row>
    <row r="15" spans="2:30" ht="21" thickBot="1">
      <c r="B15" s="55" t="s">
        <v>88</v>
      </c>
      <c r="C15" s="71" t="str">
        <f>IFERROR(VLOOKUP(C$14,魔法一覧!$A$2:$E$17,2,FALSE),"カード選択")</f>
        <v>カード選択</v>
      </c>
      <c r="D15" s="72"/>
      <c r="E15" s="71" t="str">
        <f>IFERROR(VLOOKUP(E$14,魔法一覧!$A$2:$E$17,2,FALSE),"カード選択")</f>
        <v>カード選択</v>
      </c>
      <c r="F15" s="72"/>
      <c r="G15" s="64"/>
      <c r="H15" s="65"/>
      <c r="I15" s="71" t="str">
        <f>IFERROR(VLOOKUP(I$14,魔法一覧!$A$2:$E$17,2,FALSE),"カード選択")</f>
        <v>カード選択</v>
      </c>
      <c r="J15" s="72"/>
      <c r="K15" s="71" t="str">
        <f>IFERROR(VLOOKUP(K$14,魔法一覧!$A$2:$E$17,2,FALSE),"カード選択")</f>
        <v>カード選択</v>
      </c>
      <c r="L15" s="72"/>
      <c r="M15" s="64"/>
      <c r="N15" s="65"/>
      <c r="O15" s="71" t="str">
        <f>IFERROR(VLOOKUP(O$14,魔法一覧!$A$2:$E$17,2,FALSE),"カード選択")</f>
        <v>カード選択</v>
      </c>
      <c r="P15" s="72"/>
      <c r="Q15" s="71" t="str">
        <f>IFERROR(VLOOKUP(Q$14,魔法一覧!$A$2:$E$17,2,FALSE),"カード選択")</f>
        <v>カード選択</v>
      </c>
      <c r="R15" s="72"/>
      <c r="S15" s="64"/>
      <c r="T15" s="65"/>
      <c r="U15" s="71" t="str">
        <f>IFERROR(VLOOKUP(U$14,魔法一覧!$A$2:$E$17,2,FALSE),"カード選択")</f>
        <v>カード選択</v>
      </c>
      <c r="V15" s="72"/>
      <c r="W15" s="71" t="str">
        <f>IFERROR(VLOOKUP(W$14,魔法一覧!$A$2:$E$17,2,FALSE),"カード選択")</f>
        <v>カード選択</v>
      </c>
      <c r="X15" s="72"/>
      <c r="Y15" s="64"/>
      <c r="Z15" s="65"/>
      <c r="AA15" s="71" t="str">
        <f>IFERROR(VLOOKUP(AA$14,魔法一覧!$A$2:$E$17,2,FALSE),"カード選択")</f>
        <v>カード選択</v>
      </c>
      <c r="AB15" s="72"/>
      <c r="AC15" s="71" t="str">
        <f>IFERROR(VLOOKUP(AC$14,魔法一覧!$A$2:$E$17,2,FALSE),"カード選択")</f>
        <v>カード選択</v>
      </c>
      <c r="AD15" s="72"/>
    </row>
    <row r="16" spans="2:30" ht="21" thickBot="1">
      <c r="B16" s="10" t="s">
        <v>79</v>
      </c>
      <c r="C16" s="69" t="str">
        <f>IFERROR(DGET(カード一覧!$A:$W,カード一覧!$V$1, C$2:F$3),"")</f>
        <v/>
      </c>
      <c r="D16" s="70"/>
      <c r="E16" s="69" t="str">
        <f>IFERROR(DGET(カード一覧!$A:$W,カード一覧!$W$1, C$2:F$3),"")</f>
        <v/>
      </c>
      <c r="F16" s="70"/>
      <c r="G16" s="64"/>
      <c r="H16" s="65"/>
      <c r="I16" s="69" t="str">
        <f>IFERROR(DGET(カード一覧!$A:$W,カード一覧!$V$1, I$2:L$3),"")</f>
        <v/>
      </c>
      <c r="J16" s="70"/>
      <c r="K16" s="69" t="str">
        <f>IFERROR(DGET(カード一覧!$A:$W,カード一覧!$W$1, I$2:L$3),"")</f>
        <v/>
      </c>
      <c r="L16" s="70"/>
      <c r="M16" s="64"/>
      <c r="N16" s="65"/>
      <c r="O16" s="69" t="str">
        <f>IFERROR(DGET(カード一覧!$A:$W,カード一覧!$V$1, O$2:R$3),"")</f>
        <v/>
      </c>
      <c r="P16" s="70"/>
      <c r="Q16" s="69" t="str">
        <f>IFERROR(DGET(カード一覧!$A:$W,カード一覧!$W$1, O$2:R$3),"")</f>
        <v/>
      </c>
      <c r="R16" s="70"/>
      <c r="S16" s="64"/>
      <c r="T16" s="65"/>
      <c r="U16" s="69" t="str">
        <f>IFERROR(DGET(カード一覧!$A:$W,カード一覧!$V$1, U$2:X$3),"")</f>
        <v/>
      </c>
      <c r="V16" s="70"/>
      <c r="W16" s="69" t="str">
        <f>IFERROR(DGET(カード一覧!$A:$W,カード一覧!$W$1, U$2:X$3),"")</f>
        <v/>
      </c>
      <c r="X16" s="70"/>
      <c r="Y16" s="64"/>
      <c r="Z16" s="65"/>
      <c r="AA16" s="69" t="str">
        <f>IFERROR(DGET(カード一覧!$A:$W,カード一覧!$V$1, AA$2:AD$3),"")</f>
        <v/>
      </c>
      <c r="AB16" s="70"/>
      <c r="AC16" s="69" t="str">
        <f>IFERROR(DGET(カード一覧!$A:$W,カード一覧!$W$1, AA$2:AD$3),"")</f>
        <v/>
      </c>
      <c r="AD16" s="70"/>
    </row>
    <row r="17" spans="2:30" ht="21" thickBot="1">
      <c r="B17" s="10" t="s">
        <v>75</v>
      </c>
      <c r="C17" s="71" t="str">
        <f>IFERROR(VLOOKUP(C$14,魔法一覧!$A$2:$E$17,4,FALSE),"カード選択")</f>
        <v>カード選択</v>
      </c>
      <c r="D17" s="72"/>
      <c r="E17" s="71" t="str">
        <f>IFERROR(VLOOKUP(E$14,魔法一覧!$A$2:$E$17,4,FALSE),"カード選択")</f>
        <v>カード選択</v>
      </c>
      <c r="F17" s="72"/>
      <c r="G17" s="64"/>
      <c r="H17" s="65"/>
      <c r="I17" s="71" t="str">
        <f>IFERROR(VLOOKUP(I$14,魔法一覧!$A$2:$E$17,4,FALSE),"カード選択")</f>
        <v>カード選択</v>
      </c>
      <c r="J17" s="72"/>
      <c r="K17" s="71" t="str">
        <f>IFERROR(VLOOKUP(K$14,魔法一覧!$A$2:$E$17,4,FALSE),"カード選択")</f>
        <v>カード選択</v>
      </c>
      <c r="L17" s="72"/>
      <c r="M17" s="64"/>
      <c r="N17" s="65"/>
      <c r="O17" s="71" t="str">
        <f>IFERROR(VLOOKUP(O$14,魔法一覧!$A$2:$E$17,4,FALSE),"カード選択")</f>
        <v>カード選択</v>
      </c>
      <c r="P17" s="72"/>
      <c r="Q17" s="71" t="str">
        <f>IFERROR(VLOOKUP(Q$14,魔法一覧!$A$2:$E$17,4,FALSE),"カード選択")</f>
        <v>カード選択</v>
      </c>
      <c r="R17" s="72"/>
      <c r="S17" s="64"/>
      <c r="T17" s="65"/>
      <c r="U17" s="71" t="str">
        <f>IFERROR(VLOOKUP(U$14,魔法一覧!$A$2:$E$17,4,FALSE),"カード選択")</f>
        <v>カード選択</v>
      </c>
      <c r="V17" s="72"/>
      <c r="W17" s="71" t="str">
        <f>IFERROR(VLOOKUP(W$14,魔法一覧!$A$2:$E$17,4,FALSE),"カード選択")</f>
        <v>カード選択</v>
      </c>
      <c r="X17" s="72"/>
      <c r="Y17" s="64"/>
      <c r="Z17" s="65"/>
      <c r="AA17" s="71" t="str">
        <f>IFERROR(VLOOKUP(AA$14,魔法一覧!$A$2:$E$17,4,FALSE),"カード選択")</f>
        <v>カード選択</v>
      </c>
      <c r="AB17" s="72"/>
      <c r="AC17" s="71" t="str">
        <f>IFERROR(VLOOKUP(AC$14,魔法一覧!$A$2:$E$17,4,FALSE),"カード選択")</f>
        <v>カード選択</v>
      </c>
      <c r="AD17" s="72"/>
    </row>
    <row r="18" spans="2:30" ht="21" thickBot="1">
      <c r="B18" s="10" t="s">
        <v>76</v>
      </c>
      <c r="C18" s="71" t="str">
        <f>IFERROR(VLOOKUP(C$14,魔法一覧!$A$2:$E$17,5,FALSE),"カード選択")</f>
        <v>カード選択</v>
      </c>
      <c r="D18" s="72"/>
      <c r="E18" s="71" t="str">
        <f>IFERROR(VLOOKUP(E$14,魔法一覧!$A$2:$E$17,5,FALSE),"カード選択")</f>
        <v>カード選択</v>
      </c>
      <c r="F18" s="72"/>
      <c r="G18" s="64"/>
      <c r="H18" s="65"/>
      <c r="I18" s="71" t="str">
        <f>IFERROR(VLOOKUP(I$14,魔法一覧!$A$2:$E$17,5,FALSE),"カード選択")</f>
        <v>カード選択</v>
      </c>
      <c r="J18" s="72"/>
      <c r="K18" s="71" t="str">
        <f>IFERROR(VLOOKUP(K$14,魔法一覧!$A$2:$E$17,5,FALSE),"カード選択")</f>
        <v>カード選択</v>
      </c>
      <c r="L18" s="72"/>
      <c r="M18" s="64"/>
      <c r="N18" s="65"/>
      <c r="O18" s="71" t="str">
        <f>IFERROR(VLOOKUP(O$14,魔法一覧!$A$2:$E$17,5,FALSE),"カード選択")</f>
        <v>カード選択</v>
      </c>
      <c r="P18" s="72"/>
      <c r="Q18" s="71" t="str">
        <f>IFERROR(VLOOKUP(Q$14,魔法一覧!$A$2:$E$17,5,FALSE),"カード選択")</f>
        <v>カード選択</v>
      </c>
      <c r="R18" s="72"/>
      <c r="S18" s="64"/>
      <c r="T18" s="65"/>
      <c r="U18" s="71" t="str">
        <f>IFERROR(VLOOKUP(U$14,魔法一覧!$A$2:$E$17,5,FALSE),"カード選択")</f>
        <v>カード選択</v>
      </c>
      <c r="V18" s="72"/>
      <c r="W18" s="71" t="str">
        <f>IFERROR(VLOOKUP(W$14,魔法一覧!$A$2:$E$17,5,FALSE),"カード選択")</f>
        <v>カード選択</v>
      </c>
      <c r="X18" s="72"/>
      <c r="Y18" s="64"/>
      <c r="Z18" s="65"/>
      <c r="AA18" s="71" t="str">
        <f>IFERROR(VLOOKUP(AA$14,魔法一覧!$A$2:$E$17,5,FALSE),"カード選択")</f>
        <v>カード選択</v>
      </c>
      <c r="AB18" s="72"/>
      <c r="AC18" s="71" t="str">
        <f>IFERROR(VLOOKUP(AC$14,魔法一覧!$A$2:$E$17,5,FALSE),"カード選択")</f>
        <v>カード選択</v>
      </c>
      <c r="AD18" s="72"/>
    </row>
    <row r="19" spans="2:30" ht="20" customHeight="1" thickBot="1">
      <c r="B19" s="10" t="s">
        <v>89</v>
      </c>
      <c r="C19" s="83" t="s">
        <v>78</v>
      </c>
      <c r="D19" s="84"/>
      <c r="E19" s="83" t="s">
        <v>78</v>
      </c>
      <c r="F19" s="84"/>
      <c r="G19" s="64"/>
      <c r="H19" s="65"/>
      <c r="I19" s="83" t="s">
        <v>78</v>
      </c>
      <c r="J19" s="84"/>
      <c r="K19" s="83" t="s">
        <v>78</v>
      </c>
      <c r="L19" s="84"/>
      <c r="M19" s="64"/>
      <c r="N19" s="65"/>
      <c r="O19" s="83" t="s">
        <v>78</v>
      </c>
      <c r="P19" s="84"/>
      <c r="Q19" s="83" t="s">
        <v>78</v>
      </c>
      <c r="R19" s="84"/>
      <c r="S19" s="64"/>
      <c r="T19" s="65"/>
      <c r="U19" s="83" t="s">
        <v>78</v>
      </c>
      <c r="V19" s="84"/>
      <c r="W19" s="83" t="s">
        <v>78</v>
      </c>
      <c r="X19" s="84"/>
      <c r="Y19" s="64"/>
      <c r="Z19" s="65"/>
      <c r="AA19" s="83" t="s">
        <v>78</v>
      </c>
      <c r="AB19" s="84"/>
      <c r="AC19" s="83" t="s">
        <v>78</v>
      </c>
      <c r="AD19" s="84"/>
    </row>
    <row r="20" spans="2:30">
      <c r="B20" s="58" t="s">
        <v>219</v>
      </c>
      <c r="C20" s="60" t="str">
        <f>IF(COUNTIF(C30, "*ATK UP*")&gt;0, C30, "-")</f>
        <v>-</v>
      </c>
      <c r="D20" s="61"/>
      <c r="E20" s="60" t="str">
        <f>IF(COUNTIF(E30, "*ATK UP*")&gt;0, E30, "-")</f>
        <v>-</v>
      </c>
      <c r="F20" s="61"/>
      <c r="G20" s="64"/>
      <c r="H20" s="65"/>
      <c r="I20" s="60" t="str">
        <f>IF(COUNTIF(I30, "*ATK UP*")&gt;0, I30, "-")</f>
        <v>-</v>
      </c>
      <c r="J20" s="61"/>
      <c r="K20" s="60" t="str">
        <f>IF(COUNTIF(K30, "*ATK UP*")&gt;0, K30, "-")</f>
        <v>-</v>
      </c>
      <c r="L20" s="61"/>
      <c r="M20" s="64"/>
      <c r="N20" s="65"/>
      <c r="O20" s="60" t="str">
        <f>IF(COUNTIF(O30, "*ATK UP*")&gt;0, O30, "-")</f>
        <v>-</v>
      </c>
      <c r="P20" s="61"/>
      <c r="Q20" s="60" t="str">
        <f>IF(COUNTIF(Q30, "*ATK UP*")&gt;0, Q30, "-")</f>
        <v>-</v>
      </c>
      <c r="R20" s="61"/>
      <c r="S20" s="64"/>
      <c r="T20" s="65"/>
      <c r="U20" s="60" t="str">
        <f>IF(COUNTIF(U30, "*ATK UP*")&gt;0, U30, "-")</f>
        <v>-</v>
      </c>
      <c r="V20" s="61"/>
      <c r="W20" s="60" t="str">
        <f>IF(COUNTIF(W30, "*ATK UP*")&gt;0, W30, "-")</f>
        <v>-</v>
      </c>
      <c r="X20" s="61"/>
      <c r="Y20" s="64"/>
      <c r="Z20" s="65"/>
      <c r="AA20" s="60" t="str">
        <f>IF(COUNTIF(AA30, "*ATK UP*")&gt;0, AA30, "-")</f>
        <v>-</v>
      </c>
      <c r="AB20" s="61"/>
      <c r="AC20" s="60" t="str">
        <f>IF(COUNTIF(AC30, "*ATK UP*")&gt;0, AC30, "-")</f>
        <v>-</v>
      </c>
      <c r="AD20" s="61"/>
    </row>
    <row r="21" spans="2:30" ht="21" thickBot="1">
      <c r="B21" s="96"/>
      <c r="C21" s="62" t="s">
        <v>222</v>
      </c>
      <c r="D21" s="63"/>
      <c r="E21" s="62" t="s">
        <v>222</v>
      </c>
      <c r="F21" s="63"/>
      <c r="G21" s="64"/>
      <c r="H21" s="65"/>
      <c r="I21" s="62" t="s">
        <v>222</v>
      </c>
      <c r="J21" s="63"/>
      <c r="K21" s="62" t="s">
        <v>222</v>
      </c>
      <c r="L21" s="63"/>
      <c r="M21" s="64"/>
      <c r="N21" s="65"/>
      <c r="O21" s="62" t="s">
        <v>222</v>
      </c>
      <c r="P21" s="63"/>
      <c r="Q21" s="62" t="s">
        <v>222</v>
      </c>
      <c r="R21" s="63"/>
      <c r="S21" s="64"/>
      <c r="T21" s="65"/>
      <c r="U21" s="62" t="s">
        <v>222</v>
      </c>
      <c r="V21" s="63"/>
      <c r="W21" s="62" t="s">
        <v>222</v>
      </c>
      <c r="X21" s="63"/>
      <c r="Y21" s="64"/>
      <c r="Z21" s="65"/>
      <c r="AA21" s="62" t="s">
        <v>222</v>
      </c>
      <c r="AB21" s="63"/>
      <c r="AC21" s="62" t="s">
        <v>222</v>
      </c>
      <c r="AD21" s="63"/>
    </row>
    <row r="22" spans="2:30">
      <c r="B22" s="58" t="s">
        <v>220</v>
      </c>
      <c r="C22" s="60" t="str">
        <f>IF(COUNTIF(C30, "*ダメージUP*"), C30, "-")</f>
        <v>-</v>
      </c>
      <c r="D22" s="61"/>
      <c r="E22" s="60" t="str">
        <f>IF(COUNTIF(E30, "*ダメージUP*"), E30, "-")</f>
        <v>-</v>
      </c>
      <c r="F22" s="61"/>
      <c r="G22" s="64"/>
      <c r="H22" s="65"/>
      <c r="I22" s="60" t="str">
        <f>IF(COUNTIF(I30, "*ダメージUP*"), I30, "-")</f>
        <v>-</v>
      </c>
      <c r="J22" s="61"/>
      <c r="K22" s="60" t="str">
        <f>IF(COUNTIF(K30, "*ダメージUP*"), K30, "-")</f>
        <v>-</v>
      </c>
      <c r="L22" s="61"/>
      <c r="M22" s="64"/>
      <c r="N22" s="65"/>
      <c r="O22" s="60" t="str">
        <f>IF(COUNTIF(O30, "*ダメージUP*"), O30, "-")</f>
        <v>-</v>
      </c>
      <c r="P22" s="61"/>
      <c r="Q22" s="60" t="str">
        <f>IF(COUNTIF(Q30, "*ダメージUP*"), Q30, "-")</f>
        <v>-</v>
      </c>
      <c r="R22" s="61"/>
      <c r="S22" s="64"/>
      <c r="T22" s="65"/>
      <c r="U22" s="60" t="str">
        <f>IF(COUNTIF(U30, "*ダメージUP*"), U30, "-")</f>
        <v>-</v>
      </c>
      <c r="V22" s="61"/>
      <c r="W22" s="60" t="str">
        <f>IF(COUNTIF(W30, "*ダメージUP*"), W30, "-")</f>
        <v>-</v>
      </c>
      <c r="X22" s="61"/>
      <c r="Y22" s="64"/>
      <c r="Z22" s="65"/>
      <c r="AA22" s="60" t="str">
        <f>IF(COUNTIF(AA30, "*ダメージUP*"), AA30, "-")</f>
        <v>-</v>
      </c>
      <c r="AB22" s="61"/>
      <c r="AC22" s="60" t="str">
        <f>IF(COUNTIF(AC30, "*ダメージUP*"), AC30, "-")</f>
        <v>-</v>
      </c>
      <c r="AD22" s="61"/>
    </row>
    <row r="23" spans="2:30" ht="21" thickBot="1">
      <c r="B23" s="59"/>
      <c r="C23" s="62" t="s">
        <v>77</v>
      </c>
      <c r="D23" s="63"/>
      <c r="E23" s="62" t="s">
        <v>77</v>
      </c>
      <c r="F23" s="63"/>
      <c r="G23" s="64"/>
      <c r="H23" s="65"/>
      <c r="I23" s="62" t="s">
        <v>77</v>
      </c>
      <c r="J23" s="63"/>
      <c r="K23" s="62" t="s">
        <v>77</v>
      </c>
      <c r="L23" s="63"/>
      <c r="M23" s="64"/>
      <c r="N23" s="65"/>
      <c r="O23" s="62" t="s">
        <v>77</v>
      </c>
      <c r="P23" s="63"/>
      <c r="Q23" s="62" t="s">
        <v>77</v>
      </c>
      <c r="R23" s="63"/>
      <c r="S23" s="64"/>
      <c r="T23" s="65"/>
      <c r="U23" s="62" t="s">
        <v>77</v>
      </c>
      <c r="V23" s="63"/>
      <c r="W23" s="62" t="s">
        <v>77</v>
      </c>
      <c r="X23" s="63"/>
      <c r="Y23" s="64"/>
      <c r="Z23" s="65"/>
      <c r="AA23" s="62" t="s">
        <v>77</v>
      </c>
      <c r="AB23" s="63"/>
      <c r="AC23" s="62" t="s">
        <v>77</v>
      </c>
      <c r="AD23" s="63"/>
    </row>
    <row r="24" spans="2:30" ht="21" thickBot="1">
      <c r="B24" s="57"/>
      <c r="C24" s="7"/>
      <c r="D24" s="7"/>
      <c r="E24" s="7"/>
      <c r="F24" s="7"/>
      <c r="G24" s="66"/>
      <c r="H24" s="66"/>
      <c r="I24" s="7"/>
      <c r="J24" s="7"/>
      <c r="K24" s="7"/>
      <c r="L24" s="7"/>
      <c r="M24" s="66"/>
      <c r="N24" s="66"/>
      <c r="O24" s="7"/>
      <c r="P24" s="7"/>
      <c r="Q24" s="7"/>
      <c r="R24" s="7"/>
      <c r="S24" s="66"/>
      <c r="T24" s="66"/>
      <c r="U24" s="7"/>
      <c r="V24" s="7"/>
      <c r="W24" s="7"/>
      <c r="X24" s="7"/>
      <c r="Y24" s="66"/>
      <c r="Z24" s="66"/>
      <c r="AA24" s="7"/>
      <c r="AB24" s="7"/>
      <c r="AC24" s="7"/>
      <c r="AD24" s="7"/>
    </row>
    <row r="25" spans="2:30">
      <c r="B25" s="11" t="s">
        <v>72</v>
      </c>
      <c r="C25" s="79">
        <f>ROUND(C6*(1+C31+C32),0)</f>
        <v>0</v>
      </c>
      <c r="D25" s="80"/>
      <c r="E25" s="80"/>
      <c r="F25" s="81"/>
      <c r="G25" s="64"/>
      <c r="H25" s="65"/>
      <c r="I25" s="79">
        <f>ROUND(I6*(1+I31+I32),0)</f>
        <v>0</v>
      </c>
      <c r="J25" s="80"/>
      <c r="K25" s="80"/>
      <c r="L25" s="81"/>
      <c r="M25" s="64"/>
      <c r="N25" s="65"/>
      <c r="O25" s="79">
        <f>ROUND(O6*(1+O31+O32),0)</f>
        <v>0</v>
      </c>
      <c r="P25" s="80"/>
      <c r="Q25" s="80"/>
      <c r="R25" s="81"/>
      <c r="S25" s="64"/>
      <c r="T25" s="65"/>
      <c r="U25" s="79">
        <f>ROUND(U6*(1+U31+U32),0)</f>
        <v>0</v>
      </c>
      <c r="V25" s="80"/>
      <c r="W25" s="80"/>
      <c r="X25" s="81"/>
      <c r="Y25" s="64"/>
      <c r="Z25" s="65"/>
      <c r="AA25" s="79">
        <f>ROUND(AA6*(1+AA31+AA32),0)</f>
        <v>0</v>
      </c>
      <c r="AB25" s="80"/>
      <c r="AC25" s="80"/>
      <c r="AD25" s="81"/>
    </row>
    <row r="26" spans="2:30" ht="21" thickBot="1">
      <c r="B26" s="12" t="s">
        <v>82</v>
      </c>
      <c r="C26" s="82">
        <f>ROUND(C11*(1+C33+C34+C39+C40)*C36*C37*C38*(1+C41+C42),0)</f>
        <v>0</v>
      </c>
      <c r="D26" s="67"/>
      <c r="E26" s="67">
        <f>ROUND(C11*(1+E33+E34+E39+E40)*E36*E37*E38*(1+E41+E42),0)</f>
        <v>0</v>
      </c>
      <c r="F26" s="68"/>
      <c r="G26" s="64"/>
      <c r="H26" s="65"/>
      <c r="I26" s="82">
        <f>ROUND(I11*(1+I33+I34+I39+I40)*I36*I37*I38*(1+I41+I42),0)</f>
        <v>0</v>
      </c>
      <c r="J26" s="67"/>
      <c r="K26" s="67">
        <f>ROUND(I11*(1+K33+K34+K39+K40)*K36*K37*K38*(1+K41+K42),0)</f>
        <v>0</v>
      </c>
      <c r="L26" s="68"/>
      <c r="M26" s="64"/>
      <c r="N26" s="65"/>
      <c r="O26" s="82">
        <f>ROUND(O11*(1+O33+O34+O39+O40)*O36*O37*O38*(1+O41+O42),0)</f>
        <v>0</v>
      </c>
      <c r="P26" s="67"/>
      <c r="Q26" s="67">
        <f>ROUND(O11*(1+Q33+Q34+Q39+Q40)*Q36*Q37*Q38*(1+Q41+Q42),0)</f>
        <v>0</v>
      </c>
      <c r="R26" s="68"/>
      <c r="S26" s="64"/>
      <c r="T26" s="65"/>
      <c r="U26" s="82">
        <f>ROUND(U11*(1+U33+U34+U39+U40)*U36*U37*U38*(1+U41+U42),0)</f>
        <v>0</v>
      </c>
      <c r="V26" s="67"/>
      <c r="W26" s="67">
        <f>ROUND(U11*(1+W33+W34+W39+W40)*W36*W37*W38*(1+W41+W42),0)</f>
        <v>0</v>
      </c>
      <c r="X26" s="68"/>
      <c r="Y26" s="64"/>
      <c r="Z26" s="65"/>
      <c r="AA26" s="82">
        <f>ROUND(AA11*(1+AA33+AA34+AA39+AA40)*AA36*AA37*AA38*(1+AA41+AA42),0)</f>
        <v>0</v>
      </c>
      <c r="AB26" s="67"/>
      <c r="AC26" s="67">
        <f>ROUND(AA11*(1+AC33+AC34+AC39+AC40)*AC36*AC37*AC38*(1+AC41+AC42),0)</f>
        <v>0</v>
      </c>
      <c r="AD26" s="68"/>
    </row>
    <row r="27" spans="2:30">
      <c r="B27" s="48"/>
      <c r="C27" s="57"/>
      <c r="D27" s="57"/>
      <c r="E27" s="57"/>
      <c r="F27" s="57"/>
      <c r="G27" s="57"/>
      <c r="H27" s="57"/>
      <c r="I27" s="57"/>
      <c r="J27" s="57"/>
      <c r="K27" s="57"/>
      <c r="L27" s="57"/>
      <c r="M27" s="57"/>
      <c r="N27" s="57"/>
      <c r="O27" s="57"/>
      <c r="P27" s="57"/>
      <c r="Q27" s="57"/>
      <c r="R27" s="57"/>
      <c r="S27" s="57"/>
      <c r="T27" s="57"/>
      <c r="U27" s="57"/>
      <c r="V27" s="57"/>
      <c r="W27" s="57"/>
      <c r="X27" s="57"/>
      <c r="Y27" s="57"/>
      <c r="Z27" s="57"/>
      <c r="AA27" s="57"/>
      <c r="AB27" s="57"/>
      <c r="AC27" s="57"/>
      <c r="AD27" s="57"/>
    </row>
    <row r="28" spans="2:30">
      <c r="B28" s="48"/>
      <c r="C28" s="57"/>
      <c r="D28" s="57"/>
      <c r="E28" s="57"/>
      <c r="F28" s="57"/>
      <c r="G28" s="57"/>
      <c r="H28" s="57"/>
      <c r="I28" s="57"/>
      <c r="J28" s="57"/>
      <c r="K28" s="57"/>
      <c r="L28" s="57"/>
      <c r="M28" s="57"/>
      <c r="N28" s="57"/>
      <c r="O28" s="57"/>
      <c r="P28" s="57"/>
      <c r="Q28" s="57"/>
      <c r="R28" s="57"/>
      <c r="S28" s="57"/>
      <c r="T28" s="57"/>
      <c r="U28" s="57"/>
      <c r="V28" s="57"/>
      <c r="W28" s="57"/>
      <c r="X28" s="57"/>
      <c r="Y28" s="57"/>
      <c r="Z28" s="57"/>
      <c r="AA28" s="57"/>
      <c r="AB28" s="57"/>
      <c r="AC28" s="57"/>
      <c r="AD28" s="57"/>
    </row>
    <row r="29" spans="2:30" ht="21" thickBot="1">
      <c r="B29" s="2"/>
    </row>
    <row r="30" spans="2:30" ht="20" hidden="1" customHeight="1">
      <c r="B30" s="2"/>
      <c r="C30" t="str">
        <f>IFERROR(IF(C16&lt;5, DGET(MAGIC詳細!$A$2:$N$116,MAGIC詳細!$D$2,C2:F3), IF(C16&lt;10, DGET(MAGIC詳細!$A$2:$N$116,MAGIC詳細!$F$2,C2:F3), IF(C16=10, DGET(MAGIC詳細!$A$2:$N$116,MAGIC詳細!$H$2,C2:F3), "-"))), "-")</f>
        <v>-</v>
      </c>
      <c r="E30" t="str">
        <f>IFERROR(IF(E16&lt;5, DGET(MAGIC詳細!$A$2:$N$116,MAGIC詳細!$J$2,C2:F3), IF(E16&lt;10, DGET(MAGIC詳細!$A$2:$N$116,MAGIC詳細!$L$2,C2:F3), IF(E16=10, DGET(MAGIC詳細!$A$2:$N$116,MAGIC詳細!$N$2,C2:F3), "-"))), "-")</f>
        <v>-</v>
      </c>
      <c r="I30" t="str">
        <f>IFERROR(IF(I16&lt;5, DGET(MAGIC詳細!$A$2:$N$116,MAGIC詳細!$D$2,I2:L3), IF(I16&lt;10, DGET(MAGIC詳細!$A$2:$N$116,MAGIC詳細!$F$2,I2:L3), IF(I16=10, DGET(MAGIC詳細!$A$2:$N$116,MAGIC詳細!$H$2,I2:L3), "-"))), "-")</f>
        <v>-</v>
      </c>
      <c r="K30" t="str">
        <f>IFERROR(IF(K16&lt;5, DGET(MAGIC詳細!$A$2:$N$116,MAGIC詳細!$J$2,I2:L3), IF(K16&lt;10, DGET(MAGIC詳細!$A$2:$N$116,MAGIC詳細!$L$2,I2:L3), IF(K16=10, DGET(MAGIC詳細!$A$2:$N$116,MAGIC詳細!$N$2,I2:L3), "-"))), "-")</f>
        <v>-</v>
      </c>
      <c r="O30" t="str">
        <f>IFERROR(IF(O16&lt;5, DGET(MAGIC詳細!$A$2:$N$116,MAGIC詳細!$D$2,O2:R3), IF(O16&lt;10, DGET(MAGIC詳細!$A$2:$N$116,MAGIC詳細!$F$2,O2:R3), IF(O16=10, DGET(MAGIC詳細!$A$2:$N$116,MAGIC詳細!$H$2,O2:R3), "-"))), "-")</f>
        <v>-</v>
      </c>
      <c r="Q30" t="str">
        <f>IFERROR(IF(Q16&lt;5, DGET(MAGIC詳細!$A$2:$N$116,MAGIC詳細!$J$2,O2:R3), IF(Q16&lt;10, DGET(MAGIC詳細!$A$2:$N$116,MAGIC詳細!$L$2,O2:R3), IF(Q16=10, DGET(MAGIC詳細!$A$2:$N$116,MAGIC詳細!$N$2,O2:R3), "-"))), "-")</f>
        <v>-</v>
      </c>
      <c r="U30" t="str">
        <f>IFERROR(IF(U16&lt;5, DGET(MAGIC詳細!$A$2:$N$116,MAGIC詳細!$D$2,U2:X3), IF(U16&lt;10, DGET(MAGIC詳細!$A$2:$N$116,MAGIC詳細!$F$2,U2:X3), IF(U16=10, DGET(MAGIC詳細!$A$2:$N$116,MAGIC詳細!$H$2,U2:X3), "-"))), "-")</f>
        <v>-</v>
      </c>
      <c r="W30" t="str">
        <f>IFERROR(IF(W16&lt;5, DGET(MAGIC詳細!$A$2:$N$116,MAGIC詳細!$J$2,U2:X3), IF(W16&lt;10, DGET(MAGIC詳細!$A$2:$N$116,MAGIC詳細!$L$2,U2:X3), IF(W16=10, DGET(MAGIC詳細!$A$2:$N$116,MAGIC詳細!$N$2,U2:X3), "-"))), "-")</f>
        <v>-</v>
      </c>
      <c r="AA30" t="str">
        <f>IFERROR(IF(AA16&lt;5, DGET(MAGIC詳細!$A$2:$N$116,MAGIC詳細!$D$2,AA2:AD3), IF(AA16&lt;10, DGET(MAGIC詳細!$A$2:$N$116,MAGIC詳細!$F$2,AA2:AD3), IF(AA16=10, DGET(MAGIC詳細!$A$2:$N$116,MAGIC詳細!$H$2,AA2:AD3), "-"))), "-")</f>
        <v>-</v>
      </c>
      <c r="AC30" t="str">
        <f>IFERROR(IF(AC16&lt;5, DGET(MAGIC詳細!$A$2:$N$116,MAGIC詳細!$J$2,AA2:AD3), IF(AC16&lt;10, DGET(MAGIC詳細!$A$2:$N$116,MAGIC詳細!$L$2,AA2:AD3), IF(AC16=10, DGET(MAGIC詳細!$A$2:$N$116,MAGIC詳細!$N$2,AA2:AD3), "-"))), "-")</f>
        <v>-</v>
      </c>
    </row>
    <row r="31" spans="2:30" ht="20" hidden="1" customHeight="1">
      <c r="B31" s="2"/>
      <c r="C31">
        <f>IF(D7="小", (10+E7)/100, IF(D7="中", (20+E7)/100, 0))</f>
        <v>0</v>
      </c>
      <c r="I31">
        <f>IF(J7="小", (10+K7)/100, IF(J7="中", (20+K7)/100, 0))</f>
        <v>0</v>
      </c>
      <c r="O31">
        <f>IF(P7="小", (10+Q7)/100, IF(P7="中", (20+Q7)/100, 0))</f>
        <v>0</v>
      </c>
      <c r="U31">
        <f>IF(V7="小", (10+W7)/100, IF(V7="中", (20+W7)/100, 0))</f>
        <v>0</v>
      </c>
      <c r="AA31">
        <f>IF(AB7="小", (10+AC7)/100, IF(AB7="中", (20+AC7)/100, 0))</f>
        <v>0</v>
      </c>
    </row>
    <row r="32" spans="2:30" ht="20" hidden="1" customHeight="1">
      <c r="B32" s="2"/>
      <c r="C32">
        <f>IF(D8="小", (10+E8)/100, IF(D8="中", (20+E8)/100, 0))</f>
        <v>0</v>
      </c>
      <c r="I32">
        <f>IF(J8="小", (10+K8)/100, IF(J8="中", (20+K8)/100, 0))</f>
        <v>0</v>
      </c>
      <c r="O32">
        <f>IF(P8="小", (10+Q8)/100, IF(P8="中", (20+Q8)/100, 0))</f>
        <v>0</v>
      </c>
      <c r="U32">
        <f>IF(V8="小", (10+W8)/100, IF(V8="中", (20+W8)/100, 0))</f>
        <v>0</v>
      </c>
      <c r="AA32">
        <f>IF(AB8="小", (10+AC8)/100, IF(AB8="中", (20+AC8)/100, 0))</f>
        <v>0</v>
      </c>
    </row>
    <row r="33" spans="2:29" ht="20" hidden="1" customHeight="1">
      <c r="B33" s="2"/>
      <c r="C33">
        <f>IF(D12="小", (10+E12)/100, IF(D12="中", (20+E12)/100, 0))</f>
        <v>0</v>
      </c>
      <c r="E33">
        <f>IF(D12="小", (10+E12)/100, IF(D12="中", (20+E12)/100, 0))</f>
        <v>0</v>
      </c>
      <c r="I33">
        <f>IF(J12="小", (10+K12)/100, IF(J12="中", (20+K12)/100, 0))</f>
        <v>0</v>
      </c>
      <c r="K33">
        <f>IF(J12="小", (10+K12)/100, IF(J12="中", (20+K12)/100, 0))</f>
        <v>0</v>
      </c>
      <c r="O33">
        <f>IF(P12="小", (10+Q12)/100, IF(P12="中", (20+Q12)/100, 0))</f>
        <v>0</v>
      </c>
      <c r="Q33">
        <f>IF(P12="小", (10+Q12)/100, IF(P12="中", (20+Q12)/100, 0))</f>
        <v>0</v>
      </c>
      <c r="U33">
        <f>IF(V12="小", (10+W12)/100, IF(V12="中", (20+W12)/100, 0))</f>
        <v>0</v>
      </c>
      <c r="W33">
        <f>IF(V12="小", (10+W12)/100, IF(V12="中", (20+W12)/100, 0))</f>
        <v>0</v>
      </c>
      <c r="AA33">
        <f>IF(AB12="小", (10+AC12)/100, IF(AB12="中", (20+AC12)/100, 0))</f>
        <v>0</v>
      </c>
      <c r="AC33">
        <f>IF(AB12="小", (10+AC12)/100, IF(AB12="中", (20+AC12)/100, 0))</f>
        <v>0</v>
      </c>
    </row>
    <row r="34" spans="2:29" ht="20" hidden="1" customHeight="1">
      <c r="B34" s="2"/>
      <c r="C34">
        <f>IF(D13="小", (10+E13)/100, IF(D13="中", (20+E13)/100, 0))</f>
        <v>0</v>
      </c>
      <c r="E34">
        <f>IF(D13="小", (10+E13)/100, IF(D13="中", (20+E13)/100, 0))</f>
        <v>0</v>
      </c>
      <c r="I34">
        <f>IF(J13="小", (10+K13)/100, IF(J13="中", (20+K13)/100, 0))</f>
        <v>0</v>
      </c>
      <c r="K34">
        <f>IF(J13="小", (10+K13)/100, IF(J13="中", (20+K13)/100, 0))</f>
        <v>0</v>
      </c>
      <c r="O34">
        <f>IF(P13="小", (10+Q13)/100, IF(P13="中", (20+Q13)/100, 0))</f>
        <v>0</v>
      </c>
      <c r="Q34">
        <f>IF(P13="小", (10+Q13)/100, IF(P13="中", (20+Q13)/100, 0))</f>
        <v>0</v>
      </c>
      <c r="U34">
        <f>IF(V13="小", (10+W13)/100, IF(V13="中", (20+W13)/100, 0))</f>
        <v>0</v>
      </c>
      <c r="W34">
        <f>IF(V13="小", (10+W13)/100, IF(V13="中", (20+W13)/100, 0))</f>
        <v>0</v>
      </c>
      <c r="AA34">
        <f>IF(AB13="小", (10+AC13)/100, IF(AB13="中", (20+AC13)/100, 0))</f>
        <v>0</v>
      </c>
      <c r="AC34">
        <f>IF(AB13="小", (10+AC13)/100, IF(AB13="中", (20+AC13)/100, 0))</f>
        <v>0</v>
      </c>
    </row>
    <row r="35" spans="2:29" ht="20" hidden="1" customHeight="1">
      <c r="B35" s="2"/>
    </row>
    <row r="36" spans="2:29" ht="20" hidden="1" customHeight="1">
      <c r="B36" s="2"/>
      <c r="C36">
        <f>IFERROR(IF(C17="弱", 0.5+C16*0.025, 0.625+0.0375*C16),0)</f>
        <v>0</v>
      </c>
      <c r="E36">
        <f>IFERROR(IF(E17="弱", 0.5+E16*0.025, 0.625+0.0375*E16),0)</f>
        <v>0</v>
      </c>
      <c r="I36">
        <f t="shared" ref="I36" si="0">IFERROR(IF(I17="弱", 0.5+I16*0.025, 0.625+0.0375*I16),0)</f>
        <v>0</v>
      </c>
      <c r="K36">
        <f t="shared" ref="K36" si="1">IFERROR(IF(K17="弱", 0.5+K16*0.025, 0.625+0.0375*K16),0)</f>
        <v>0</v>
      </c>
      <c r="O36">
        <f t="shared" ref="O36" si="2">IFERROR(IF(O17="弱", 0.5+O16*0.025, 0.625+0.0375*O16),0)</f>
        <v>0</v>
      </c>
      <c r="Q36">
        <f t="shared" ref="Q36" si="3">IFERROR(IF(Q17="弱", 0.5+Q16*0.025, 0.625+0.0375*Q16),0)</f>
        <v>0</v>
      </c>
      <c r="U36">
        <f t="shared" ref="U36" si="4">IFERROR(IF(U17="弱", 0.5+U16*0.025, 0.625+0.0375*U16),0)</f>
        <v>0</v>
      </c>
      <c r="W36">
        <f t="shared" ref="W36" si="5">IFERROR(IF(W17="弱", 0.5+W16*0.025, 0.625+0.0375*W16),0)</f>
        <v>0</v>
      </c>
      <c r="AA36">
        <f t="shared" ref="AA36" si="6">IFERROR(IF(AA17="弱", 0.5+AA16*0.025, 0.625+0.0375*AA16),0)</f>
        <v>0</v>
      </c>
      <c r="AC36">
        <f t="shared" ref="AC36" si="7">IFERROR(IF(AC17="弱", 0.5+AC16*0.025, 0.625+0.0375*AC16),0)</f>
        <v>0</v>
      </c>
    </row>
    <row r="37" spans="2:29" ht="20" hidden="1" customHeight="1">
      <c r="B37" s="2"/>
      <c r="C37">
        <f>IF(C19="不利", 0.5, IF(C19="同属性", 1, IF(C19="無属性", 1.1, 1.5)))</f>
        <v>1</v>
      </c>
      <c r="E37">
        <f>IF(E19="不利", 0.5, IF(E19="同属性", 1, IF(E19="無属性", 1.1, 1.5)))</f>
        <v>1</v>
      </c>
      <c r="I37">
        <f>IF(I19="不利", 0.5, IF(I19="同属性", 1, IF(I19="無属性", 1.1, 1.5)))</f>
        <v>1</v>
      </c>
      <c r="K37">
        <f>IF(K19="不利", 0.5, IF(K19="同属性", 1, IF(K19="無属性", 1.1, 1.5)))</f>
        <v>1</v>
      </c>
      <c r="O37">
        <f>IF(O19="不利", 0.5, IF(O19="同属性", 1, IF(O19="無属性", 1.1, 1.5)))</f>
        <v>1</v>
      </c>
      <c r="Q37">
        <f>IF(Q19="不利", 0.5, IF(Q19="同属性", 1, IF(Q19="無属性", 1.1, 1.5)))</f>
        <v>1</v>
      </c>
      <c r="U37">
        <f>IF(U19="不利", 0.5, IF(U19="同属性", 1, IF(U19="無属性", 1.1, 1.5)))</f>
        <v>1</v>
      </c>
      <c r="W37">
        <f>IF(W19="不利", 0.5, IF(W19="同属性", 1, IF(W19="無属性", 1.1, 1.5)))</f>
        <v>1</v>
      </c>
      <c r="AA37">
        <f>IF(AA19="不利", 0.5, IF(AA19="同属性", 1, IF(AA19="無属性", 1.1, 1.5)))</f>
        <v>1</v>
      </c>
      <c r="AC37">
        <f>IF(AC19="不利", 0.5, IF(AC19="同属性", 1, IF(AC19="無属性", 1.1, 1.5)))</f>
        <v>1</v>
      </c>
    </row>
    <row r="38" spans="2:29" ht="20" hidden="1" customHeight="1">
      <c r="B38" s="2"/>
      <c r="C38">
        <f>IF(C18=2, 0.9*2, IF(C18=3, 0.8*3, 1))</f>
        <v>1</v>
      </c>
      <c r="E38">
        <f>IF(E18=2, 0.9*2, IF(E18=3, 0.8*3, 1))</f>
        <v>1</v>
      </c>
      <c r="I38">
        <f>IF(I18=2, 0.9*2, IF(I18=3, 0.8*3, 1))</f>
        <v>1</v>
      </c>
      <c r="K38">
        <f>IF(K18=2, 0.9*2, IF(K18=3, 0.8*3, 1))</f>
        <v>1</v>
      </c>
      <c r="O38">
        <f>IF(O18=2, 0.9*2, IF(O18=3, 0.8*3, 1))</f>
        <v>1</v>
      </c>
      <c r="Q38">
        <f>IF(Q18=2, 0.9*2, IF(Q18=3, 0.8*3, 1))</f>
        <v>1</v>
      </c>
      <c r="U38">
        <f>IF(U18=2, 0.9*2, IF(U18=3, 0.8*3, 1))</f>
        <v>1</v>
      </c>
      <c r="W38">
        <f>IF(W18=2, 0.9*2, IF(W18=3, 0.8*3, 1))</f>
        <v>1</v>
      </c>
      <c r="AA38">
        <f>IF(AA18=2, 0.9*2, IF(AA18=3, 0.8*3, 1))</f>
        <v>1</v>
      </c>
      <c r="AC38">
        <f>IF(AC18=2, 0.9*2, IF(AC18=3, 0.8*3, 1))</f>
        <v>1</v>
      </c>
    </row>
    <row r="39" spans="2:29" ht="20" hidden="1" customHeight="1">
      <c r="B39" s="2"/>
      <c r="C39">
        <f>IF(COUNTIF(C20,"*ATK UP（極小）*"), 5+0.5*C$16, IF(COUNTIF(C20,"*ATK UP（小）*"), 10+C$16, IF(COUNTIF(C20,"*ATK UP（中）*"), 20+1.5*C$16, IF(COUNTIF(C20,"*ATK UP（大）*"), 50,0))))/100</f>
        <v>0</v>
      </c>
      <c r="E39">
        <f>IF(COUNTIF(E20,"*ATK UP（極小）*"), 5+0.5*E$16, IF(COUNTIF(E20,"*ATK UP（小）*"), 10+E$16, IF(COUNTIF(E20,"*ATK UP（中）*"), 20+1.5*E$16, IF(COUNTIF(E20,"*ATK UP（大）*"), 50,0))))/100</f>
        <v>0</v>
      </c>
      <c r="I39">
        <f>IF(COUNTIF(I20,"*ATK UP（極小）*"), 5+0.5*I$16, IF(COUNTIF(I20,"*ATK UP（小）*"), 10+I$16, IF(COUNTIF(I20,"*ATK UP（中）*"), 20+1.5*I$16, IF(COUNTIF(I20,"*ATK UP（大）*"), 50,0))))/100</f>
        <v>0</v>
      </c>
      <c r="K39">
        <f>IF(COUNTIF(K20,"*ATK UP（極小）*"), 5+0.5*K$16, IF(COUNTIF(K20,"*ATK UP（小）*"), 10+K$16, IF(COUNTIF(K20,"*ATK UP（中）*"), 20+1.5*K$16, IF(COUNTIF(K20,"*ATK UP（大）*"), 50,0))))/100</f>
        <v>0</v>
      </c>
      <c r="O39">
        <f>IF(COUNTIF(O20,"*ATK UP（極小）*"), 5+0.5*O$16, IF(COUNTIF(O20,"*ATK UP（小）*"), 10+O$16, IF(COUNTIF(O20,"*ATK UP（中）*"), 20+1.5*O$16, IF(COUNTIF(O20,"*ATK UP（大）*"), 50,0))))/100</f>
        <v>0</v>
      </c>
      <c r="Q39">
        <f>IF(COUNTIF(Q20,"*ATK UP（極小）*"), 5+0.5*Q$16, IF(COUNTIF(Q20,"*ATK UP（小）*"), 10+Q$16, IF(COUNTIF(Q20,"*ATK UP（中）*"), 20+1.5*Q$16, IF(COUNTIF(Q20,"*ATK UP（大）*"), 50,0))))/100</f>
        <v>0</v>
      </c>
      <c r="U39">
        <f>IF(COUNTIF(U20,"*ATK UP（極小）*"), 5+0.5*U$16, IF(COUNTIF(U20,"*ATK UP（小）*"), 10+U$16, IF(COUNTIF(U20,"*ATK UP（中）*"), 20+1.5*U$16, IF(COUNTIF(U20,"*ATK UP（大）*"), 50,0))))/100</f>
        <v>0</v>
      </c>
      <c r="W39">
        <f>IF(COUNTIF(W20,"*ATK UP（極小）*"), 5+0.5*W$16, IF(COUNTIF(W20,"*ATK UP（小）*"), 10+W$16, IF(COUNTIF(W20,"*ATK UP（中）*"), 20+1.5*W$16, IF(COUNTIF(W20,"*ATK UP（大）*"), 50,0))))/100</f>
        <v>0</v>
      </c>
      <c r="AA39">
        <f>IF(COUNTIF(AA20,"*ATK UP（極小）*"), 5+0.5*AA$16, IF(COUNTIF(AA20,"*ATK UP（小）*"), 10+AA$16, IF(COUNTIF(AA20,"*ATK UP（中）*"), 20+1.5*AA$16, IF(COUNTIF(AA20,"*ATK UP（大）*"), 50,0))))/100</f>
        <v>0</v>
      </c>
      <c r="AC39">
        <f>IF(COUNTIF(AC20,"*ATK UP（極小）*"), 5+0.5*AC$16, IF(COUNTIF(AC20,"*ATK UP（小）*"), 10+AC$16, IF(COUNTIF(AC20,"*ATK UP（中）*"), 20+1.5*AC$16, IF(COUNTIF(AC20,"*ATK UP（大）*"), 50,0))))/100</f>
        <v>0</v>
      </c>
    </row>
    <row r="40" spans="2:29" ht="20" hidden="1" customHeight="1">
      <c r="B40" s="2"/>
      <c r="C40">
        <f>IF(COUNTIF(C21,"*ATK UP（極小）*"), 5+0.5*C$16, IF(COUNTIF(C21,"*ATK UP（小）*"), 10+C$16, IF(COUNTIF(C21,"*ATK UP（中）*"), 20+1.5*C$16, IF(COUNTIF(C21,"*ATK UP（大）*"), 50,0))))/100</f>
        <v>0</v>
      </c>
      <c r="E40">
        <f>IF(COUNTIF(E21,"*ATK UP（極小）*"), 5+0.5*E$16, IF(COUNTIF(E21,"*ATK UP（小）*"), 10+E$16, IF(COUNTIF(E21,"*ATK UP（中）*"), 20+1.5*E$16, IF(COUNTIF(E21,"*ATK UP（大）*"), 50,0))))/100</f>
        <v>0</v>
      </c>
      <c r="I40">
        <f>IF(COUNTIF(I21,"*ATK UP（極小）*"), 5+0.5*I$16, IF(COUNTIF(I21,"*ATK UP（小）*"), 10+I$16, IF(COUNTIF(I21,"*ATK UP（中）*"), 20+1.5*I$16, IF(COUNTIF(I21,"*ATK UP（大）*"), 50,0))))/100</f>
        <v>0</v>
      </c>
      <c r="K40">
        <f>IF(COUNTIF(K21,"*ATK UP（極小）*"), 5+0.5*K$16, IF(COUNTIF(K21,"*ATK UP（小）*"), 10+K$16, IF(COUNTIF(K21,"*ATK UP（中）*"), 20+1.5*K$16, IF(COUNTIF(K21,"*ATK UP（大）*"), 50,0))))/100</f>
        <v>0</v>
      </c>
      <c r="O40">
        <f>IF(COUNTIF(O21,"*ATK UP（極小）*"), 5+0.5*O$16, IF(COUNTIF(O21,"*ATK UP（小）*"), 10+O$16, IF(COUNTIF(O21,"*ATK UP（中）*"), 20+1.5*O$16, IF(COUNTIF(O21,"*ATK UP（大）*"), 50,0))))/100</f>
        <v>0</v>
      </c>
      <c r="Q40">
        <f>IF(COUNTIF(Q21,"*ATK UP（極小）*"), 5+0.5*Q$16, IF(COUNTIF(Q21,"*ATK UP（小）*"), 10+Q$16, IF(COUNTIF(Q21,"*ATK UP（中）*"), 20+1.5*Q$16, IF(COUNTIF(Q21,"*ATK UP（大）*"), 50,0))))/100</f>
        <v>0</v>
      </c>
      <c r="U40">
        <f>IF(COUNTIF(U21,"*ATK UP（極小）*"), 5+0.5*U$16, IF(COUNTIF(U21,"*ATK UP（小）*"), 10+U$16, IF(COUNTIF(U21,"*ATK UP（中）*"), 20+1.5*U$16, IF(COUNTIF(U21,"*ATK UP（大）*"), 50,0))))/100</f>
        <v>0</v>
      </c>
      <c r="W40">
        <f>IF(COUNTIF(W21,"*ATK UP（極小）*"), 5+0.5*W$16, IF(COUNTIF(W21,"*ATK UP（小）*"), 10+W$16, IF(COUNTIF(W21,"*ATK UP（中）*"), 20+1.5*W$16, IF(COUNTIF(W21,"*ATK UP（大）*"), 50,0))))/100</f>
        <v>0</v>
      </c>
      <c r="AA40">
        <f>IF(COUNTIF(AA21,"*ATK UP（極小）*"), 5+0.5*AA$16, IF(COUNTIF(AA21,"*ATK UP（小）*"), 10+AA$16, IF(COUNTIF(AA21,"*ATK UP（中）*"), 20+1.5*AA$16, IF(COUNTIF(AA21,"*ATK UP（大）*"), 50,0))))/100</f>
        <v>0</v>
      </c>
      <c r="AC40">
        <f>IF(COUNTIF(AC21,"*ATK UP（極小）*"), 5+0.5*AC$16, IF(COUNTIF(AC21,"*ATK UP（小）*"), 10+AC$16, IF(COUNTIF(AC21,"*ATK UP（中）*"), 20+1.5*AC$16, IF(COUNTIF(AC21,"*ATK UP（大）*"), 50,0))))/100</f>
        <v>0</v>
      </c>
    </row>
    <row r="41" spans="2:29" ht="20" hidden="1" customHeight="1">
      <c r="B41" s="2"/>
      <c r="C41">
        <f>IF(COUNTIF(C22,"*ダメージUP（小）*"),C$16,IF(COUNTIF(C22,"*ダメージUP（中）*"),10+C$16,IF(COUNTIF(C22,"*ダメージUP（大）*"),40,0))/100)</f>
        <v>0</v>
      </c>
      <c r="E41">
        <f>IF(COUNTIF(E22,"*ダメージUP（小）*"),E$16,IF(COUNTIF(E22,"*ダメージUP（中）*"),10+E$16,IF(COUNTIF(E22,"*ダメージUP（大）*"),40,0))/100)</f>
        <v>0</v>
      </c>
      <c r="I41">
        <f>IF(COUNTIF(I22,"*ダメージUP（小）*"),I$16,IF(COUNTIF(I22,"*ダメージUP（中）*"),10+I$16,IF(COUNTIF(I22,"*ダメージUP（大）*"),40,0))/100)</f>
        <v>0</v>
      </c>
      <c r="K41">
        <f>IF(COUNTIF(K22,"*ダメージUP（小）*"),K$16,IF(COUNTIF(K22,"*ダメージUP（中）*"),10+K$16,IF(COUNTIF(K22,"*ダメージUP（大）*"),40,0))/100)</f>
        <v>0</v>
      </c>
      <c r="O41">
        <f>IF(COUNTIF(O22,"*ダメージUP（小）*"),O$16,IF(COUNTIF(O22,"*ダメージUP（中）*"),10+O$16,IF(COUNTIF(O22,"*ダメージUP（大）*"),40,0))/100)</f>
        <v>0</v>
      </c>
      <c r="Q41">
        <f>IF(COUNTIF(Q22,"*ダメージUP（小）*"),Q$16,IF(COUNTIF(Q22,"*ダメージUP（中）*"),10+Q$16,IF(COUNTIF(Q22,"*ダメージUP（大）*"),40,0))/100)</f>
        <v>0</v>
      </c>
      <c r="U41">
        <f>IF(COUNTIF(U22,"*ダメージUP（小）*"),U$16,IF(COUNTIF(U22,"*ダメージUP（中）*"),10+U$16,IF(COUNTIF(U22,"*ダメージUP（大）*"),40,0))/100)</f>
        <v>0</v>
      </c>
      <c r="W41">
        <f>IF(COUNTIF(W22,"*ダメージUP（小）*"),W$16,IF(COUNTIF(W22,"*ダメージUP（中）*"),10+W$16,IF(COUNTIF(W22,"*ダメージUP（大）*"),40,0))/100)</f>
        <v>0</v>
      </c>
      <c r="AA41">
        <f>IF(COUNTIF(AA22,"*ダメージUP（小）*"),AA$16,IF(COUNTIF(AA22,"*ダメージUP（中）*"),10+AA$16,IF(COUNTIF(AA22,"*ダメージUP（大）*"),40,0))/100)</f>
        <v>0</v>
      </c>
      <c r="AC41">
        <f>IF(COUNTIF(AC22,"*ダメージUP（小）*"),AC$16,IF(COUNTIF(AC22,"*ダメージUP（中）*"),10+AC$16,IF(COUNTIF(AC22,"*ダメージUP（大）*"),40,0))/100)</f>
        <v>0</v>
      </c>
    </row>
    <row r="42" spans="2:29" ht="21" hidden="1" customHeight="1" thickBot="1">
      <c r="B42" s="2"/>
      <c r="C42">
        <f>IF(COUNTIF(C23,"*ダメージUP（小）*"),C$16,IF(COUNTIF(C23,"*ダメージUP（中）*"),10+C$16,IF(COUNTIF(C23,"*ダメージUP（大）*"),40,0))/100)</f>
        <v>0</v>
      </c>
      <c r="E42">
        <f>IF(COUNTIF(E23,"*ダメージUP（小）*"),E$16,IF(COUNTIF(E23,"*ダメージUP（中）*"),10+E$16,IF(COUNTIF(E23,"*ダメージUP（大）*"),40,0))/100)</f>
        <v>0</v>
      </c>
      <c r="I42">
        <f>IF(COUNTIF(I23,"*ダメージUP（小）*"),I$16,IF(COUNTIF(I23,"*ダメージUP（中）*"),10+I$16,IF(COUNTIF(I23,"*ダメージUP（大）*"),40,0))/100)</f>
        <v>0</v>
      </c>
      <c r="K42">
        <f>IF(COUNTIF(K23,"*ダメージUP（小）*"),K$16,IF(COUNTIF(K23,"*ダメージUP（中）*"),10+K$16,IF(COUNTIF(K23,"*ダメージUP（大）*"),40,0))/100)</f>
        <v>0</v>
      </c>
      <c r="O42">
        <f>IF(COUNTIF(O23,"*ダメージUP（小）*"),O$16,IF(COUNTIF(O23,"*ダメージUP（中）*"),10+O$16,IF(COUNTIF(O23,"*ダメージUP（大）*"),40,0))/100)</f>
        <v>0</v>
      </c>
      <c r="Q42">
        <f>IF(COUNTIF(Q23,"*ダメージUP（小）*"),Q$16,IF(COUNTIF(Q23,"*ダメージUP（中）*"),10+Q$16,IF(COUNTIF(Q23,"*ダメージUP（大）*"),40,0))/100)</f>
        <v>0</v>
      </c>
      <c r="U42">
        <f>IF(COUNTIF(U23,"*ダメージUP（小）*"),U$16,IF(COUNTIF(U23,"*ダメージUP（中）*"),10+U$16,IF(COUNTIF(U23,"*ダメージUP（大）*"),40,0))/100)</f>
        <v>0</v>
      </c>
      <c r="W42">
        <f>IF(COUNTIF(W23,"*ダメージUP（小）*"),W$16,IF(COUNTIF(W23,"*ダメージUP（中）*"),10+W$16,IF(COUNTIF(W23,"*ダメージUP（大）*"),40,0))/100)</f>
        <v>0</v>
      </c>
      <c r="AA42">
        <f>IF(COUNTIF(AA23,"*ダメージUP（小）*"),AA$16,IF(COUNTIF(AA23,"*ダメージUP（中）*"),10+AA$16,IF(COUNTIF(AA23,"*ダメージUP（大）*"),40,0))/100)</f>
        <v>0</v>
      </c>
      <c r="AC42">
        <f>IF(COUNTIF(AC23,"*ダメージUP（小）*"),AC$16,IF(COUNTIF(AC23,"*ダメージUP（中）*"),10+AC$16,IF(COUNTIF(AC23,"*ダメージUP（大）*"),40,0))/100)</f>
        <v>0</v>
      </c>
    </row>
    <row r="43" spans="2:29">
      <c r="B43" s="35" t="s">
        <v>86</v>
      </c>
      <c r="C43" s="13">
        <f>SUM(C25:AD25)</f>
        <v>0</v>
      </c>
    </row>
    <row r="44" spans="2:29" ht="21" thickBot="1">
      <c r="B44" s="36" t="s">
        <v>87</v>
      </c>
      <c r="C44" s="14">
        <f>SUM(C26:AD26)</f>
        <v>0</v>
      </c>
    </row>
  </sheetData>
  <mergeCells count="279">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E21:F21"/>
    <mergeCell ref="G19:H19"/>
    <mergeCell ref="G12:H12"/>
    <mergeCell ref="G18:H18"/>
    <mergeCell ref="G20:H20"/>
    <mergeCell ref="K19:L19"/>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K2:L2"/>
    <mergeCell ref="G11:H11"/>
    <mergeCell ref="M11:N11"/>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AC8:AD8"/>
    <mergeCell ref="AA10:AD10"/>
    <mergeCell ref="U11:X11"/>
    <mergeCell ref="AA11:AD11"/>
    <mergeCell ref="W7:X7"/>
    <mergeCell ref="W8:X8"/>
    <mergeCell ref="Q12:R12"/>
    <mergeCell ref="O10:R10"/>
    <mergeCell ref="O11:R11"/>
    <mergeCell ref="W12:X12"/>
    <mergeCell ref="U10:X10"/>
    <mergeCell ref="AC12:AD12"/>
    <mergeCell ref="Y10:Z10"/>
    <mergeCell ref="S11:T11"/>
    <mergeCell ref="Y11:Z11"/>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Y19:Z19"/>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M26:N26"/>
    <mergeCell ref="S26:T26"/>
    <mergeCell ref="Y26:Z26"/>
    <mergeCell ref="G24:H24"/>
    <mergeCell ref="M24:N24"/>
    <mergeCell ref="S24:T24"/>
    <mergeCell ref="Y24:Z24"/>
    <mergeCell ref="G25:H25"/>
    <mergeCell ref="M25:N25"/>
    <mergeCell ref="S25:T25"/>
    <mergeCell ref="Y25:Z25"/>
    <mergeCell ref="K26:L26"/>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s>
  <phoneticPr fontId="1"/>
  <dataValidations count="4">
    <dataValidation type="list" allowBlank="1" showInputMessage="1" showErrorMessage="1" sqref="I19:L19 O19:R19 C19:F19 U19:X19 AA19:AD19" xr:uid="{5812644F-95B8-2348-95FF-B72F316E93F9}">
      <formula1>"無属性,不利, 同属性, 有利"</formula1>
    </dataValidation>
    <dataValidation type="list" allowBlank="1" showInputMessage="1" showErrorMessage="1" sqref="D7:D8 P7:P8 V7:V8 J7:J8 AB7:AB8 V12:V13 D12:D13 J12:J13 P12:P13 AB12:AB13" xr:uid="{42F058EB-5750-F44B-8504-460C1F39F7FD}">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1AF4370D-BCE1-8940-B08E-B822C02F19E4}">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4B95E320-913C-364B-ACC0-320391485603}">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DDFD83-8B32-8E42-8007-477C506177BB}">
          <x14:formula1>
            <xm:f>キャラ・カード名一覧!$B$3:$B$25</xm:f>
          </x14:formula1>
          <xm:sqref>C3:D3 I3:J3 O3:P3 U3:V3 AA3:AB3</xm:sqref>
        </x14:dataValidation>
        <x14:dataValidation type="list" allowBlank="1" showInputMessage="1" showErrorMessage="1" xr:uid="{FA129952-2FD0-A64C-83BD-D2353B4B928F}">
          <x14:formula1>
            <xm:f>キャラ・カード名一覧!$C$3:$C$17</xm:f>
          </x14:formula1>
          <xm:sqref>E3:F3 AC3:AD3 W3:X3 Q3:R3 K3:L3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G156"/>
  <sheetViews>
    <sheetView tabSelected="1" zoomScale="75" zoomScaleNormal="25" workbookViewId="0">
      <pane ySplit="1" topLeftCell="A2" activePane="bottomLeft" state="frozen"/>
      <selection pane="bottomLeft" activeCell="L14" sqref="L14"/>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 min="14" max="14" width="12" customWidth="1"/>
    <col min="15" max="15" width="0.7109375" style="47" customWidth="1"/>
    <col min="16" max="19" width="10.7109375" style="1"/>
  </cols>
  <sheetData>
    <row r="1" spans="1:23">
      <c r="A1" t="s">
        <v>5</v>
      </c>
      <c r="B1" t="s">
        <v>0</v>
      </c>
      <c r="C1" t="s">
        <v>8</v>
      </c>
      <c r="D1" t="s">
        <v>1</v>
      </c>
      <c r="E1" t="s">
        <v>2</v>
      </c>
      <c r="F1" t="s">
        <v>67</v>
      </c>
      <c r="G1" s="1" t="s">
        <v>3</v>
      </c>
      <c r="H1" t="s">
        <v>4</v>
      </c>
      <c r="I1" t="s">
        <v>238</v>
      </c>
      <c r="J1" t="s">
        <v>239</v>
      </c>
      <c r="K1" t="s">
        <v>96</v>
      </c>
      <c r="L1" t="s">
        <v>116</v>
      </c>
      <c r="M1" t="s">
        <v>117</v>
      </c>
      <c r="N1" t="s">
        <v>97</v>
      </c>
      <c r="P1" s="46" t="s">
        <v>69</v>
      </c>
      <c r="Q1" s="46" t="s">
        <v>70</v>
      </c>
      <c r="R1" s="46" t="s">
        <v>269</v>
      </c>
      <c r="S1" s="46" t="s">
        <v>270</v>
      </c>
      <c r="T1" s="49" t="s">
        <v>271</v>
      </c>
      <c r="U1" s="49" t="s">
        <v>272</v>
      </c>
      <c r="V1" s="49" t="s">
        <v>273</v>
      </c>
      <c r="W1" s="49" t="s">
        <v>274</v>
      </c>
    </row>
    <row r="2" spans="1:23">
      <c r="A2">
        <v>1</v>
      </c>
      <c r="B2" s="42" t="s">
        <v>100</v>
      </c>
      <c r="C2" s="43" t="s">
        <v>113</v>
      </c>
      <c r="D2" s="43" t="s">
        <v>241</v>
      </c>
      <c r="E2" s="43" t="s">
        <v>35</v>
      </c>
      <c r="F2" s="43" t="s">
        <v>66</v>
      </c>
      <c r="G2" s="43" t="s">
        <v>191</v>
      </c>
      <c r="H2" s="43" t="s">
        <v>189</v>
      </c>
      <c r="I2" s="43"/>
      <c r="J2" s="43"/>
      <c r="K2" s="43"/>
      <c r="L2" s="43"/>
      <c r="M2" s="43"/>
      <c r="N2" s="43" t="s">
        <v>114</v>
      </c>
      <c r="P2" s="50">
        <v>2000</v>
      </c>
      <c r="Q2" s="50">
        <v>1000</v>
      </c>
      <c r="R2" s="50">
        <v>1</v>
      </c>
      <c r="S2" s="50">
        <v>1</v>
      </c>
      <c r="T2" s="50">
        <v>1</v>
      </c>
      <c r="U2" s="50">
        <v>1</v>
      </c>
      <c r="V2" s="50">
        <v>1</v>
      </c>
      <c r="W2" s="50">
        <v>1</v>
      </c>
    </row>
    <row r="3" spans="1:23">
      <c r="A3">
        <v>2</v>
      </c>
      <c r="B3" s="42" t="s">
        <v>100</v>
      </c>
      <c r="C3" s="43" t="s">
        <v>185</v>
      </c>
      <c r="D3" s="43" t="s">
        <v>241</v>
      </c>
      <c r="E3" s="43" t="s">
        <v>35</v>
      </c>
      <c r="F3" s="43" t="s">
        <v>35</v>
      </c>
      <c r="G3" s="43" t="s">
        <v>189</v>
      </c>
      <c r="H3" s="43" t="s">
        <v>190</v>
      </c>
      <c r="I3" s="43"/>
      <c r="J3" s="43"/>
      <c r="K3" s="43" t="s">
        <v>127</v>
      </c>
      <c r="L3" s="43"/>
      <c r="M3" s="43"/>
      <c r="N3" s="43"/>
      <c r="P3" s="50">
        <v>2000</v>
      </c>
      <c r="Q3" s="50">
        <v>1000</v>
      </c>
      <c r="R3" s="50">
        <v>1</v>
      </c>
      <c r="S3" s="50">
        <v>1</v>
      </c>
      <c r="T3" s="50">
        <v>1</v>
      </c>
      <c r="U3" s="50">
        <v>1</v>
      </c>
      <c r="V3" s="50">
        <v>1</v>
      </c>
      <c r="W3" s="50">
        <v>1</v>
      </c>
    </row>
    <row r="4" spans="1:23">
      <c r="A4">
        <v>3</v>
      </c>
      <c r="B4" s="42" t="s">
        <v>100</v>
      </c>
      <c r="C4" s="43" t="s">
        <v>120</v>
      </c>
      <c r="D4" s="43" t="s">
        <v>242</v>
      </c>
      <c r="E4" s="43" t="s">
        <v>275</v>
      </c>
      <c r="F4" s="43" t="s">
        <v>35</v>
      </c>
      <c r="G4" s="43" t="s">
        <v>190</v>
      </c>
      <c r="H4" s="43" t="s">
        <v>189</v>
      </c>
      <c r="I4" s="43" t="s">
        <v>127</v>
      </c>
      <c r="J4" s="43"/>
      <c r="K4" s="43"/>
      <c r="L4" s="43"/>
      <c r="M4" s="43"/>
      <c r="N4" s="43" t="s">
        <v>105</v>
      </c>
      <c r="P4" s="50">
        <v>2000</v>
      </c>
      <c r="Q4" s="50">
        <v>1000</v>
      </c>
      <c r="R4" s="50">
        <v>1</v>
      </c>
      <c r="S4" s="50">
        <v>1</v>
      </c>
      <c r="T4" s="50">
        <v>1</v>
      </c>
      <c r="U4" s="50">
        <v>1</v>
      </c>
      <c r="V4" s="50">
        <v>1</v>
      </c>
      <c r="W4" s="50">
        <v>1</v>
      </c>
    </row>
    <row r="5" spans="1:23">
      <c r="A5">
        <v>4</v>
      </c>
      <c r="B5" s="42" t="s">
        <v>100</v>
      </c>
      <c r="C5" s="43" t="s">
        <v>112</v>
      </c>
      <c r="D5" s="43" t="s">
        <v>242</v>
      </c>
      <c r="E5" s="43" t="s">
        <v>276</v>
      </c>
      <c r="F5" s="43" t="s">
        <v>7</v>
      </c>
      <c r="G5" s="43" t="s">
        <v>191</v>
      </c>
      <c r="H5" s="43" t="s">
        <v>190</v>
      </c>
      <c r="I5" s="43"/>
      <c r="J5" s="43"/>
      <c r="K5" s="43" t="s">
        <v>118</v>
      </c>
      <c r="L5" s="43" t="s">
        <v>106</v>
      </c>
      <c r="M5" s="43"/>
      <c r="N5" s="43"/>
      <c r="P5" s="50">
        <v>2000</v>
      </c>
      <c r="Q5" s="50">
        <v>1000</v>
      </c>
      <c r="R5" s="50">
        <v>1</v>
      </c>
      <c r="S5" s="50">
        <v>1</v>
      </c>
      <c r="T5" s="50">
        <v>1</v>
      </c>
      <c r="U5" s="50">
        <v>1</v>
      </c>
      <c r="V5" s="50">
        <v>1</v>
      </c>
      <c r="W5" s="50">
        <v>1</v>
      </c>
    </row>
    <row r="6" spans="1:23">
      <c r="A6">
        <v>5</v>
      </c>
      <c r="B6" s="42" t="s">
        <v>100</v>
      </c>
      <c r="C6" s="43" t="s">
        <v>101</v>
      </c>
      <c r="D6" s="43" t="s">
        <v>243</v>
      </c>
      <c r="E6" s="43" t="s">
        <v>275</v>
      </c>
      <c r="F6" s="43" t="s">
        <v>66</v>
      </c>
      <c r="G6" s="43" t="s">
        <v>191</v>
      </c>
      <c r="H6" s="43" t="s">
        <v>191</v>
      </c>
      <c r="I6" s="43" t="s">
        <v>118</v>
      </c>
      <c r="J6" s="43"/>
      <c r="K6" s="43"/>
      <c r="L6" s="43" t="s">
        <v>103</v>
      </c>
      <c r="M6" s="43"/>
      <c r="N6" s="43" t="s">
        <v>114</v>
      </c>
      <c r="P6" s="50">
        <v>2000</v>
      </c>
      <c r="Q6" s="50">
        <v>1000</v>
      </c>
      <c r="R6" s="50">
        <v>1</v>
      </c>
      <c r="S6" s="50">
        <v>1</v>
      </c>
      <c r="T6" s="50">
        <v>1</v>
      </c>
      <c r="U6" s="50">
        <v>1</v>
      </c>
      <c r="V6" s="50">
        <v>1</v>
      </c>
      <c r="W6" s="50">
        <v>1</v>
      </c>
    </row>
    <row r="7" spans="1:23">
      <c r="A7">
        <v>6</v>
      </c>
      <c r="B7" s="42" t="s">
        <v>100</v>
      </c>
      <c r="C7" s="43" t="s">
        <v>68</v>
      </c>
      <c r="D7" s="43" t="s">
        <v>242</v>
      </c>
      <c r="E7" s="43" t="s">
        <v>35</v>
      </c>
      <c r="F7" s="43" t="s">
        <v>66</v>
      </c>
      <c r="G7" s="43" t="s">
        <v>189</v>
      </c>
      <c r="H7" s="43" t="s">
        <v>191</v>
      </c>
      <c r="I7" s="43" t="s">
        <v>31</v>
      </c>
      <c r="J7" s="43"/>
      <c r="K7" s="43"/>
      <c r="L7" s="43"/>
      <c r="M7" s="43"/>
      <c r="N7" s="43" t="s">
        <v>51</v>
      </c>
      <c r="P7" s="50">
        <v>2000</v>
      </c>
      <c r="Q7" s="50">
        <v>1000</v>
      </c>
      <c r="R7" s="50">
        <v>1</v>
      </c>
      <c r="S7" s="50">
        <v>1</v>
      </c>
      <c r="T7" s="50">
        <v>1</v>
      </c>
      <c r="U7" s="50">
        <v>1</v>
      </c>
      <c r="V7" s="50">
        <v>1</v>
      </c>
      <c r="W7" s="50">
        <v>1</v>
      </c>
    </row>
    <row r="8" spans="1:23">
      <c r="A8">
        <v>7</v>
      </c>
      <c r="B8" s="42" t="s">
        <v>98</v>
      </c>
      <c r="C8" s="43" t="s">
        <v>113</v>
      </c>
      <c r="D8" s="43" t="s">
        <v>241</v>
      </c>
      <c r="E8" s="43" t="s">
        <v>35</v>
      </c>
      <c r="F8" s="43" t="s">
        <v>66</v>
      </c>
      <c r="G8" s="43" t="s">
        <v>189</v>
      </c>
      <c r="H8" s="43" t="s">
        <v>191</v>
      </c>
      <c r="I8" s="43"/>
      <c r="J8" s="43"/>
      <c r="K8" s="43"/>
      <c r="L8" s="43"/>
      <c r="M8" s="43"/>
      <c r="N8" s="43" t="s">
        <v>127</v>
      </c>
      <c r="P8" s="50">
        <v>2000</v>
      </c>
      <c r="Q8" s="50">
        <v>1000</v>
      </c>
      <c r="R8" s="50">
        <v>1</v>
      </c>
      <c r="S8" s="50">
        <v>1</v>
      </c>
      <c r="T8" s="50">
        <v>1</v>
      </c>
      <c r="U8" s="50">
        <v>1</v>
      </c>
      <c r="V8" s="50">
        <v>1</v>
      </c>
      <c r="W8" s="50">
        <v>1</v>
      </c>
    </row>
    <row r="9" spans="1:23">
      <c r="A9">
        <v>8</v>
      </c>
      <c r="B9" s="42" t="s">
        <v>98</v>
      </c>
      <c r="C9" s="43" t="s">
        <v>185</v>
      </c>
      <c r="D9" s="43" t="s">
        <v>241</v>
      </c>
      <c r="E9" s="43" t="s">
        <v>276</v>
      </c>
      <c r="F9" s="43" t="s">
        <v>35</v>
      </c>
      <c r="G9" s="43" t="s">
        <v>190</v>
      </c>
      <c r="H9" s="43" t="s">
        <v>189</v>
      </c>
      <c r="I9" s="43"/>
      <c r="J9" s="43"/>
      <c r="K9" s="43" t="s">
        <v>109</v>
      </c>
      <c r="L9" s="43"/>
      <c r="M9" s="43"/>
      <c r="N9" s="43"/>
      <c r="P9" s="50">
        <v>2000</v>
      </c>
      <c r="Q9" s="50">
        <v>1000</v>
      </c>
      <c r="R9" s="50">
        <v>1</v>
      </c>
      <c r="S9" s="50">
        <v>1</v>
      </c>
      <c r="T9" s="50">
        <v>1</v>
      </c>
      <c r="U9" s="50">
        <v>1</v>
      </c>
      <c r="V9" s="50">
        <v>1</v>
      </c>
      <c r="W9" s="50">
        <v>1</v>
      </c>
    </row>
    <row r="10" spans="1:23">
      <c r="A10">
        <v>9</v>
      </c>
      <c r="B10" s="42" t="s">
        <v>98</v>
      </c>
      <c r="C10" s="43" t="s">
        <v>120</v>
      </c>
      <c r="D10" s="43" t="s">
        <v>242</v>
      </c>
      <c r="E10" s="43" t="s">
        <v>276</v>
      </c>
      <c r="F10" s="43" t="s">
        <v>7</v>
      </c>
      <c r="G10" s="43" t="s">
        <v>192</v>
      </c>
      <c r="H10" s="43" t="s">
        <v>190</v>
      </c>
      <c r="I10" s="43"/>
      <c r="J10" s="43"/>
      <c r="K10" s="43" t="s">
        <v>104</v>
      </c>
      <c r="L10" s="43" t="s">
        <v>111</v>
      </c>
      <c r="M10" s="43"/>
      <c r="N10" s="43"/>
      <c r="P10" s="50">
        <v>2000</v>
      </c>
      <c r="Q10" s="50">
        <v>1000</v>
      </c>
      <c r="R10" s="50">
        <v>1</v>
      </c>
      <c r="S10" s="50">
        <v>1</v>
      </c>
      <c r="T10" s="50">
        <v>1</v>
      </c>
      <c r="U10" s="50">
        <v>1</v>
      </c>
      <c r="V10" s="50">
        <v>1</v>
      </c>
      <c r="W10" s="50">
        <v>1</v>
      </c>
    </row>
    <row r="11" spans="1:23">
      <c r="A11">
        <v>10</v>
      </c>
      <c r="B11" s="42" t="s">
        <v>98</v>
      </c>
      <c r="C11" s="43" t="s">
        <v>112</v>
      </c>
      <c r="D11" s="43" t="s">
        <v>242</v>
      </c>
      <c r="E11" s="43" t="s">
        <v>275</v>
      </c>
      <c r="F11" s="43" t="s">
        <v>66</v>
      </c>
      <c r="G11" s="43" t="s">
        <v>189</v>
      </c>
      <c r="H11" s="43" t="s">
        <v>191</v>
      </c>
      <c r="I11" s="43" t="s">
        <v>176</v>
      </c>
      <c r="J11" s="43"/>
      <c r="K11" s="43"/>
      <c r="L11" s="43"/>
      <c r="M11" s="43"/>
      <c r="N11" s="43" t="s">
        <v>100</v>
      </c>
      <c r="P11" s="50">
        <v>2000</v>
      </c>
      <c r="Q11" s="50">
        <v>1000</v>
      </c>
      <c r="R11" s="50">
        <v>1</v>
      </c>
      <c r="S11" s="50">
        <v>1</v>
      </c>
      <c r="T11" s="50">
        <v>1</v>
      </c>
      <c r="U11" s="50">
        <v>1</v>
      </c>
      <c r="V11" s="50">
        <v>1</v>
      </c>
      <c r="W11" s="50">
        <v>1</v>
      </c>
    </row>
    <row r="12" spans="1:23">
      <c r="A12">
        <v>11</v>
      </c>
      <c r="B12" s="42" t="s">
        <v>98</v>
      </c>
      <c r="C12" s="43" t="s">
        <v>101</v>
      </c>
      <c r="D12" s="43" t="s">
        <v>243</v>
      </c>
      <c r="E12" s="43" t="s">
        <v>275</v>
      </c>
      <c r="F12" s="43" t="s">
        <v>66</v>
      </c>
      <c r="G12" s="43" t="s">
        <v>191</v>
      </c>
      <c r="H12" s="43" t="s">
        <v>189</v>
      </c>
      <c r="I12" s="43" t="s">
        <v>118</v>
      </c>
      <c r="J12" s="43"/>
      <c r="K12" s="43"/>
      <c r="L12" s="43" t="s">
        <v>119</v>
      </c>
      <c r="M12" s="43"/>
      <c r="N12" s="43" t="s">
        <v>127</v>
      </c>
      <c r="P12" s="50">
        <v>2000</v>
      </c>
      <c r="Q12" s="50">
        <v>1000</v>
      </c>
      <c r="R12" s="50">
        <v>1</v>
      </c>
      <c r="S12" s="50">
        <v>1</v>
      </c>
      <c r="T12" s="50">
        <v>1</v>
      </c>
      <c r="U12" s="50">
        <v>1</v>
      </c>
      <c r="V12" s="50">
        <v>1</v>
      </c>
      <c r="W12" s="50">
        <v>1</v>
      </c>
    </row>
    <row r="13" spans="1:23">
      <c r="A13">
        <v>12</v>
      </c>
      <c r="B13" s="42" t="s">
        <v>98</v>
      </c>
      <c r="C13" s="43" t="s">
        <v>267</v>
      </c>
      <c r="D13" s="43" t="s">
        <v>243</v>
      </c>
      <c r="E13" s="43" t="s">
        <v>276</v>
      </c>
      <c r="F13" s="43" t="s">
        <v>7</v>
      </c>
      <c r="G13" s="43" t="s">
        <v>190</v>
      </c>
      <c r="H13" s="43" t="s">
        <v>191</v>
      </c>
      <c r="I13" s="43" t="s">
        <v>57</v>
      </c>
      <c r="J13" s="43"/>
      <c r="K13" s="43"/>
      <c r="L13" s="43" t="s">
        <v>11</v>
      </c>
      <c r="M13" s="43"/>
      <c r="N13" s="43" t="s">
        <v>41</v>
      </c>
      <c r="P13" s="50">
        <v>2000</v>
      </c>
      <c r="Q13" s="50">
        <v>1000</v>
      </c>
      <c r="R13" s="50">
        <v>1</v>
      </c>
      <c r="S13" s="50">
        <v>1</v>
      </c>
      <c r="T13" s="50">
        <v>1</v>
      </c>
      <c r="U13" s="50">
        <v>1</v>
      </c>
      <c r="V13" s="50">
        <v>1</v>
      </c>
      <c r="W13" s="50">
        <v>1</v>
      </c>
    </row>
    <row r="14" spans="1:23">
      <c r="A14">
        <v>13</v>
      </c>
      <c r="B14" s="42" t="s">
        <v>98</v>
      </c>
      <c r="C14" s="43" t="s">
        <v>68</v>
      </c>
      <c r="D14" s="43" t="s">
        <v>243</v>
      </c>
      <c r="E14" s="43" t="s">
        <v>275</v>
      </c>
      <c r="F14" s="43" t="s">
        <v>7</v>
      </c>
      <c r="G14" s="43" t="s">
        <v>191</v>
      </c>
      <c r="H14" s="43" t="s">
        <v>190</v>
      </c>
      <c r="I14" s="43" t="s">
        <v>106</v>
      </c>
      <c r="J14" s="43"/>
      <c r="K14" s="43"/>
      <c r="L14" s="43" t="s">
        <v>176</v>
      </c>
      <c r="M14" s="43"/>
      <c r="N14" s="43" t="s">
        <v>100</v>
      </c>
      <c r="P14" s="50">
        <v>2000</v>
      </c>
      <c r="Q14" s="50">
        <v>1000</v>
      </c>
      <c r="R14" s="50">
        <v>1</v>
      </c>
      <c r="S14" s="50">
        <v>1</v>
      </c>
      <c r="T14" s="50">
        <v>1</v>
      </c>
      <c r="U14" s="50">
        <v>1</v>
      </c>
      <c r="V14" s="50">
        <v>1</v>
      </c>
      <c r="W14" s="50">
        <v>1</v>
      </c>
    </row>
    <row r="15" spans="1:23">
      <c r="A15">
        <v>14</v>
      </c>
      <c r="B15" s="42" t="s">
        <v>127</v>
      </c>
      <c r="C15" s="43" t="s">
        <v>113</v>
      </c>
      <c r="D15" s="43" t="s">
        <v>241</v>
      </c>
      <c r="E15" s="43" t="s">
        <v>276</v>
      </c>
      <c r="F15" s="43" t="s">
        <v>66</v>
      </c>
      <c r="G15" s="43" t="s">
        <v>191</v>
      </c>
      <c r="H15" s="43" t="s">
        <v>189</v>
      </c>
      <c r="I15" s="43"/>
      <c r="J15" s="43"/>
      <c r="K15" s="43" t="s">
        <v>98</v>
      </c>
      <c r="L15" s="43"/>
      <c r="M15" s="43"/>
      <c r="N15" s="43"/>
      <c r="P15" s="50">
        <v>2000</v>
      </c>
      <c r="Q15" s="50">
        <v>1000</v>
      </c>
      <c r="R15" s="50">
        <v>1</v>
      </c>
      <c r="S15" s="50">
        <v>1</v>
      </c>
      <c r="T15" s="50">
        <v>1</v>
      </c>
      <c r="U15" s="50">
        <v>1</v>
      </c>
      <c r="V15" s="50">
        <v>1</v>
      </c>
      <c r="W15" s="50">
        <v>1</v>
      </c>
    </row>
    <row r="16" spans="1:23">
      <c r="A16">
        <v>15</v>
      </c>
      <c r="B16" s="42" t="s">
        <v>127</v>
      </c>
      <c r="C16" s="43" t="s">
        <v>185</v>
      </c>
      <c r="D16" s="43" t="s">
        <v>241</v>
      </c>
      <c r="E16" s="43" t="s">
        <v>275</v>
      </c>
      <c r="F16" s="43" t="s">
        <v>35</v>
      </c>
      <c r="G16" s="43" t="s">
        <v>190</v>
      </c>
      <c r="H16" s="43" t="s">
        <v>189</v>
      </c>
      <c r="I16" s="43"/>
      <c r="J16" s="43"/>
      <c r="K16" s="43"/>
      <c r="L16" s="43"/>
      <c r="M16" s="43"/>
      <c r="N16" s="43" t="s">
        <v>111</v>
      </c>
      <c r="P16" s="50">
        <v>2000</v>
      </c>
      <c r="Q16" s="50">
        <v>1000</v>
      </c>
      <c r="R16" s="50">
        <v>1</v>
      </c>
      <c r="S16" s="50">
        <v>1</v>
      </c>
      <c r="T16" s="50">
        <v>1</v>
      </c>
      <c r="U16" s="50">
        <v>1</v>
      </c>
      <c r="V16" s="50">
        <v>1</v>
      </c>
      <c r="W16" s="50">
        <v>1</v>
      </c>
    </row>
    <row r="17" spans="1:23">
      <c r="A17">
        <v>16</v>
      </c>
      <c r="B17" s="42" t="s">
        <v>127</v>
      </c>
      <c r="C17" s="43" t="s">
        <v>120</v>
      </c>
      <c r="D17" s="43" t="s">
        <v>242</v>
      </c>
      <c r="E17" s="43" t="s">
        <v>35</v>
      </c>
      <c r="F17" s="43" t="s">
        <v>35</v>
      </c>
      <c r="G17" s="43" t="s">
        <v>192</v>
      </c>
      <c r="H17" s="43" t="s">
        <v>189</v>
      </c>
      <c r="I17" s="43"/>
      <c r="J17" s="43"/>
      <c r="K17" s="43" t="s">
        <v>143</v>
      </c>
      <c r="L17" s="43" t="s">
        <v>150</v>
      </c>
      <c r="M17" s="43"/>
      <c r="N17" s="43"/>
      <c r="P17" s="50">
        <v>2000</v>
      </c>
      <c r="Q17" s="50">
        <v>1000</v>
      </c>
      <c r="R17" s="50">
        <v>1</v>
      </c>
      <c r="S17" s="50">
        <v>1</v>
      </c>
      <c r="T17" s="50">
        <v>1</v>
      </c>
      <c r="U17" s="50">
        <v>1</v>
      </c>
      <c r="V17" s="50">
        <v>1</v>
      </c>
      <c r="W17" s="50">
        <v>1</v>
      </c>
    </row>
    <row r="18" spans="1:23">
      <c r="A18">
        <v>17</v>
      </c>
      <c r="B18" s="42" t="s">
        <v>127</v>
      </c>
      <c r="C18" s="43" t="s">
        <v>112</v>
      </c>
      <c r="D18" s="43" t="s">
        <v>242</v>
      </c>
      <c r="E18" s="43" t="s">
        <v>275</v>
      </c>
      <c r="F18" s="43" t="s">
        <v>7</v>
      </c>
      <c r="G18" s="43" t="s">
        <v>190</v>
      </c>
      <c r="H18" s="43" t="s">
        <v>191</v>
      </c>
      <c r="I18" s="43" t="s">
        <v>176</v>
      </c>
      <c r="J18" s="43"/>
      <c r="K18" s="43"/>
      <c r="L18" s="43"/>
      <c r="M18" s="43"/>
      <c r="N18" s="43" t="s">
        <v>114</v>
      </c>
      <c r="P18" s="50">
        <v>2000</v>
      </c>
      <c r="Q18" s="50">
        <v>1000</v>
      </c>
      <c r="R18" s="50">
        <v>1</v>
      </c>
      <c r="S18" s="50">
        <v>1</v>
      </c>
      <c r="T18" s="50">
        <v>1</v>
      </c>
      <c r="U18" s="50">
        <v>1</v>
      </c>
      <c r="V18" s="50">
        <v>1</v>
      </c>
      <c r="W18" s="50">
        <v>1</v>
      </c>
    </row>
    <row r="19" spans="1:23">
      <c r="A19">
        <v>18</v>
      </c>
      <c r="B19" s="42" t="s">
        <v>127</v>
      </c>
      <c r="C19" s="43" t="s">
        <v>101</v>
      </c>
      <c r="D19" s="43" t="s">
        <v>243</v>
      </c>
      <c r="E19" s="43" t="s">
        <v>276</v>
      </c>
      <c r="F19" s="43" t="s">
        <v>7</v>
      </c>
      <c r="G19" s="43" t="s">
        <v>192</v>
      </c>
      <c r="H19" s="43" t="s">
        <v>190</v>
      </c>
      <c r="I19" s="43" t="s">
        <v>105</v>
      </c>
      <c r="J19" s="43"/>
      <c r="K19" s="43"/>
      <c r="L19" s="43" t="s">
        <v>100</v>
      </c>
      <c r="M19" s="43"/>
      <c r="N19" s="43" t="s">
        <v>98</v>
      </c>
      <c r="P19" s="50">
        <v>2000</v>
      </c>
      <c r="Q19" s="50">
        <v>1000</v>
      </c>
      <c r="R19" s="50">
        <v>1</v>
      </c>
      <c r="S19" s="50">
        <v>1</v>
      </c>
      <c r="T19" s="50">
        <v>1</v>
      </c>
      <c r="U19" s="50">
        <v>1</v>
      </c>
      <c r="V19" s="50">
        <v>1</v>
      </c>
      <c r="W19" s="50">
        <v>1</v>
      </c>
    </row>
    <row r="20" spans="1:23">
      <c r="A20">
        <v>19</v>
      </c>
      <c r="B20" s="42" t="s">
        <v>127</v>
      </c>
      <c r="C20" s="43" t="s">
        <v>245</v>
      </c>
      <c r="D20" s="43" t="s">
        <v>243</v>
      </c>
      <c r="E20" s="43" t="s">
        <v>35</v>
      </c>
      <c r="F20" s="43" t="s">
        <v>35</v>
      </c>
      <c r="G20" s="43" t="s">
        <v>190</v>
      </c>
      <c r="H20" s="43" t="s">
        <v>189</v>
      </c>
      <c r="I20" s="43" t="s">
        <v>106</v>
      </c>
      <c r="J20" s="43" t="s">
        <v>65</v>
      </c>
      <c r="K20" s="43"/>
      <c r="L20" s="43" t="s">
        <v>114</v>
      </c>
      <c r="M20" s="43"/>
      <c r="N20" s="43"/>
      <c r="P20" s="50">
        <v>2000</v>
      </c>
      <c r="Q20" s="50">
        <v>1000</v>
      </c>
      <c r="R20" s="50">
        <v>1</v>
      </c>
      <c r="S20" s="50">
        <v>1</v>
      </c>
      <c r="T20" s="50">
        <v>1</v>
      </c>
      <c r="U20" s="50">
        <v>1</v>
      </c>
      <c r="V20" s="50">
        <v>1</v>
      </c>
      <c r="W20" s="50">
        <v>1</v>
      </c>
    </row>
    <row r="21" spans="1:23">
      <c r="A21">
        <v>20</v>
      </c>
      <c r="B21" s="42" t="s">
        <v>118</v>
      </c>
      <c r="C21" s="43" t="s">
        <v>113</v>
      </c>
      <c r="D21" s="43" t="s">
        <v>241</v>
      </c>
      <c r="E21" s="43" t="s">
        <v>276</v>
      </c>
      <c r="F21" s="43" t="s">
        <v>66</v>
      </c>
      <c r="G21" s="43" t="s">
        <v>189</v>
      </c>
      <c r="H21" s="43" t="s">
        <v>191</v>
      </c>
      <c r="I21" s="43"/>
      <c r="J21" s="43"/>
      <c r="K21" s="43" t="s">
        <v>114</v>
      </c>
      <c r="L21" s="43"/>
      <c r="M21" s="43"/>
      <c r="N21" s="43"/>
      <c r="P21" s="50">
        <v>2000</v>
      </c>
      <c r="Q21" s="50">
        <v>1000</v>
      </c>
      <c r="R21" s="50">
        <v>1</v>
      </c>
      <c r="S21" s="50">
        <v>1</v>
      </c>
      <c r="T21" s="50">
        <v>1</v>
      </c>
      <c r="U21" s="50">
        <v>1</v>
      </c>
      <c r="V21" s="50">
        <v>1</v>
      </c>
      <c r="W21" s="50">
        <v>1</v>
      </c>
    </row>
    <row r="22" spans="1:23">
      <c r="A22">
        <v>21</v>
      </c>
      <c r="B22" s="42" t="s">
        <v>118</v>
      </c>
      <c r="C22" s="43" t="s">
        <v>185</v>
      </c>
      <c r="D22" s="43" t="s">
        <v>241</v>
      </c>
      <c r="E22" s="43" t="s">
        <v>275</v>
      </c>
      <c r="F22" s="43" t="s">
        <v>7</v>
      </c>
      <c r="G22" s="43" t="s">
        <v>190</v>
      </c>
      <c r="H22" s="43" t="s">
        <v>191</v>
      </c>
      <c r="I22" s="43"/>
      <c r="J22" s="43"/>
      <c r="K22" s="43"/>
      <c r="L22" s="43"/>
      <c r="M22" s="43"/>
      <c r="N22" s="43" t="s">
        <v>103</v>
      </c>
      <c r="P22" s="50">
        <v>2000</v>
      </c>
      <c r="Q22" s="50">
        <v>1000</v>
      </c>
      <c r="R22" s="50">
        <v>1</v>
      </c>
      <c r="S22" s="50">
        <v>1</v>
      </c>
      <c r="T22" s="50">
        <v>1</v>
      </c>
      <c r="U22" s="50">
        <v>1</v>
      </c>
      <c r="V22" s="50">
        <v>1</v>
      </c>
      <c r="W22" s="50">
        <v>1</v>
      </c>
    </row>
    <row r="23" spans="1:23">
      <c r="A23">
        <v>22</v>
      </c>
      <c r="B23" s="42" t="s">
        <v>118</v>
      </c>
      <c r="C23" s="43" t="s">
        <v>120</v>
      </c>
      <c r="D23" s="43" t="s">
        <v>242</v>
      </c>
      <c r="E23" s="43" t="s">
        <v>276</v>
      </c>
      <c r="F23" s="43" t="s">
        <v>35</v>
      </c>
      <c r="G23" s="43" t="s">
        <v>190</v>
      </c>
      <c r="H23" s="43" t="s">
        <v>189</v>
      </c>
      <c r="I23" s="43"/>
      <c r="J23" s="43"/>
      <c r="K23" s="43" t="s">
        <v>106</v>
      </c>
      <c r="L23" s="43" t="s">
        <v>143</v>
      </c>
      <c r="M23" s="43"/>
      <c r="N23" s="43"/>
      <c r="P23" s="50">
        <v>2000</v>
      </c>
      <c r="Q23" s="50">
        <v>1000</v>
      </c>
      <c r="R23" s="50">
        <v>1</v>
      </c>
      <c r="S23" s="50">
        <v>1</v>
      </c>
      <c r="T23" s="50">
        <v>1</v>
      </c>
      <c r="U23" s="50">
        <v>1</v>
      </c>
      <c r="V23" s="50">
        <v>1</v>
      </c>
      <c r="W23" s="50">
        <v>1</v>
      </c>
    </row>
    <row r="24" spans="1:23">
      <c r="A24">
        <v>23</v>
      </c>
      <c r="B24" s="42" t="s">
        <v>118</v>
      </c>
      <c r="C24" s="43" t="s">
        <v>112</v>
      </c>
      <c r="D24" s="43" t="s">
        <v>242</v>
      </c>
      <c r="E24" s="43" t="s">
        <v>275</v>
      </c>
      <c r="F24" s="43" t="s">
        <v>66</v>
      </c>
      <c r="G24" s="43" t="s">
        <v>191</v>
      </c>
      <c r="H24" s="43" t="s">
        <v>189</v>
      </c>
      <c r="I24" s="43" t="s">
        <v>105</v>
      </c>
      <c r="J24" s="43"/>
      <c r="K24" s="43"/>
      <c r="L24" s="43"/>
      <c r="M24" s="43"/>
      <c r="N24" s="43" t="s">
        <v>100</v>
      </c>
      <c r="P24" s="50">
        <v>2000</v>
      </c>
      <c r="Q24" s="50">
        <v>1000</v>
      </c>
      <c r="R24" s="50">
        <v>1</v>
      </c>
      <c r="S24" s="50">
        <v>1</v>
      </c>
      <c r="T24" s="50">
        <v>1</v>
      </c>
      <c r="U24" s="50">
        <v>1</v>
      </c>
      <c r="V24" s="50">
        <v>1</v>
      </c>
      <c r="W24" s="50">
        <v>1</v>
      </c>
    </row>
    <row r="25" spans="1:23">
      <c r="A25">
        <v>24</v>
      </c>
      <c r="B25" s="42" t="s">
        <v>118</v>
      </c>
      <c r="C25" s="43" t="s">
        <v>101</v>
      </c>
      <c r="D25" s="43" t="s">
        <v>243</v>
      </c>
      <c r="E25" s="43" t="s">
        <v>35</v>
      </c>
      <c r="F25" s="43" t="s">
        <v>66</v>
      </c>
      <c r="G25" s="43" t="s">
        <v>189</v>
      </c>
      <c r="H25" s="43" t="s">
        <v>191</v>
      </c>
      <c r="I25" s="43" t="s">
        <v>109</v>
      </c>
      <c r="J25" s="43"/>
      <c r="K25" s="43"/>
      <c r="L25" s="43" t="s">
        <v>177</v>
      </c>
      <c r="M25" s="43"/>
      <c r="N25" s="43" t="s">
        <v>114</v>
      </c>
      <c r="P25" s="50">
        <v>2000</v>
      </c>
      <c r="Q25" s="50">
        <v>1000</v>
      </c>
      <c r="R25" s="50">
        <v>1</v>
      </c>
      <c r="S25" s="50">
        <v>1</v>
      </c>
      <c r="T25" s="50">
        <v>1</v>
      </c>
      <c r="U25" s="50">
        <v>1</v>
      </c>
      <c r="V25" s="50">
        <v>1</v>
      </c>
      <c r="W25" s="50">
        <v>1</v>
      </c>
    </row>
    <row r="26" spans="1:23">
      <c r="A26">
        <v>25</v>
      </c>
      <c r="B26" s="42" t="s">
        <v>118</v>
      </c>
      <c r="C26" s="43" t="s">
        <v>162</v>
      </c>
      <c r="D26" s="43" t="s">
        <v>241</v>
      </c>
      <c r="E26" s="43" t="s">
        <v>275</v>
      </c>
      <c r="F26" s="43" t="s">
        <v>7</v>
      </c>
      <c r="G26" s="43" t="s">
        <v>191</v>
      </c>
      <c r="H26" s="43" t="s">
        <v>190</v>
      </c>
      <c r="I26" s="43"/>
      <c r="J26" s="43"/>
      <c r="K26" s="43" t="s">
        <v>99</v>
      </c>
      <c r="L26" s="43"/>
      <c r="M26" s="43"/>
      <c r="N26" s="43"/>
      <c r="P26" s="50">
        <v>2000</v>
      </c>
      <c r="Q26" s="50">
        <v>1000</v>
      </c>
      <c r="R26" s="50">
        <v>1</v>
      </c>
      <c r="S26" s="50">
        <v>1</v>
      </c>
      <c r="T26" s="50">
        <v>1</v>
      </c>
      <c r="U26" s="50">
        <v>1</v>
      </c>
      <c r="V26" s="50">
        <v>1</v>
      </c>
      <c r="W26" s="50">
        <v>1</v>
      </c>
    </row>
    <row r="27" spans="1:23">
      <c r="A27">
        <v>26</v>
      </c>
      <c r="B27" s="42" t="s">
        <v>114</v>
      </c>
      <c r="C27" s="43" t="s">
        <v>113</v>
      </c>
      <c r="D27" s="43" t="s">
        <v>241</v>
      </c>
      <c r="E27" s="43" t="s">
        <v>275</v>
      </c>
      <c r="F27" s="43" t="s">
        <v>66</v>
      </c>
      <c r="G27" s="43" t="s">
        <v>189</v>
      </c>
      <c r="H27" s="43" t="s">
        <v>191</v>
      </c>
      <c r="I27" s="43"/>
      <c r="J27" s="43"/>
      <c r="K27" s="43"/>
      <c r="L27" s="43"/>
      <c r="M27" s="43"/>
      <c r="N27" s="43" t="s">
        <v>118</v>
      </c>
      <c r="P27" s="50">
        <v>2000</v>
      </c>
      <c r="Q27" s="50">
        <v>1000</v>
      </c>
      <c r="R27" s="50">
        <v>1</v>
      </c>
      <c r="S27" s="50">
        <v>1</v>
      </c>
      <c r="T27" s="50">
        <v>1</v>
      </c>
      <c r="U27" s="50">
        <v>1</v>
      </c>
      <c r="V27" s="50">
        <v>1</v>
      </c>
      <c r="W27" s="50">
        <v>1</v>
      </c>
    </row>
    <row r="28" spans="1:23">
      <c r="A28">
        <v>27</v>
      </c>
      <c r="B28" s="42" t="s">
        <v>114</v>
      </c>
      <c r="C28" s="43" t="s">
        <v>185</v>
      </c>
      <c r="D28" s="43" t="s">
        <v>241</v>
      </c>
      <c r="E28" s="43" t="s">
        <v>276</v>
      </c>
      <c r="F28" s="43" t="s">
        <v>7</v>
      </c>
      <c r="G28" s="43" t="s">
        <v>191</v>
      </c>
      <c r="H28" s="43" t="s">
        <v>190</v>
      </c>
      <c r="I28" s="43"/>
      <c r="J28" s="43"/>
      <c r="K28" s="43" t="s">
        <v>150</v>
      </c>
      <c r="L28" s="43"/>
      <c r="M28" s="43"/>
      <c r="N28" s="43"/>
      <c r="P28" s="50">
        <v>2000</v>
      </c>
      <c r="Q28" s="50">
        <v>1000</v>
      </c>
      <c r="R28" s="50">
        <v>1</v>
      </c>
      <c r="S28" s="50">
        <v>1</v>
      </c>
      <c r="T28" s="50">
        <v>1</v>
      </c>
      <c r="U28" s="50">
        <v>1</v>
      </c>
      <c r="V28" s="50">
        <v>1</v>
      </c>
      <c r="W28" s="50">
        <v>1</v>
      </c>
    </row>
    <row r="29" spans="1:23">
      <c r="A29">
        <v>28</v>
      </c>
      <c r="B29" s="42" t="s">
        <v>114</v>
      </c>
      <c r="C29" s="43" t="s">
        <v>120</v>
      </c>
      <c r="D29" s="43" t="s">
        <v>242</v>
      </c>
      <c r="E29" s="43" t="s">
        <v>275</v>
      </c>
      <c r="F29" s="43" t="s">
        <v>7</v>
      </c>
      <c r="G29" s="43" t="s">
        <v>190</v>
      </c>
      <c r="H29" s="43" t="s">
        <v>191</v>
      </c>
      <c r="I29" s="43" t="s">
        <v>176</v>
      </c>
      <c r="J29" s="43"/>
      <c r="K29" s="43"/>
      <c r="L29" s="43"/>
      <c r="M29" s="43"/>
      <c r="N29" s="43" t="s">
        <v>98</v>
      </c>
      <c r="P29" s="50">
        <v>2000</v>
      </c>
      <c r="Q29" s="50">
        <v>1000</v>
      </c>
      <c r="R29" s="50">
        <v>1</v>
      </c>
      <c r="S29" s="50">
        <v>1</v>
      </c>
      <c r="T29" s="50">
        <v>1</v>
      </c>
      <c r="U29" s="50">
        <v>1</v>
      </c>
      <c r="V29" s="50">
        <v>1</v>
      </c>
      <c r="W29" s="50">
        <v>1</v>
      </c>
    </row>
    <row r="30" spans="1:23">
      <c r="A30">
        <v>29</v>
      </c>
      <c r="B30" s="42" t="s">
        <v>114</v>
      </c>
      <c r="C30" s="43" t="s">
        <v>112</v>
      </c>
      <c r="D30" s="43" t="s">
        <v>242</v>
      </c>
      <c r="E30" s="43" t="s">
        <v>35</v>
      </c>
      <c r="F30" s="43" t="s">
        <v>35</v>
      </c>
      <c r="G30" s="43" t="s">
        <v>189</v>
      </c>
      <c r="H30" s="43" t="s">
        <v>192</v>
      </c>
      <c r="I30" s="43"/>
      <c r="J30" s="43"/>
      <c r="K30" s="43" t="s">
        <v>100</v>
      </c>
      <c r="L30" s="43" t="s">
        <v>177</v>
      </c>
      <c r="M30" s="43"/>
      <c r="N30" s="43"/>
      <c r="P30" s="50">
        <v>2000</v>
      </c>
      <c r="Q30" s="50">
        <v>1000</v>
      </c>
      <c r="R30" s="50">
        <v>1</v>
      </c>
      <c r="S30" s="50">
        <v>1</v>
      </c>
      <c r="T30" s="50">
        <v>1</v>
      </c>
      <c r="U30" s="50">
        <v>1</v>
      </c>
      <c r="V30" s="50">
        <v>1</v>
      </c>
      <c r="W30" s="50">
        <v>1</v>
      </c>
    </row>
    <row r="31" spans="1:23">
      <c r="A31">
        <v>30</v>
      </c>
      <c r="B31" s="42" t="s">
        <v>114</v>
      </c>
      <c r="C31" s="43" t="s">
        <v>101</v>
      </c>
      <c r="D31" s="43" t="s">
        <v>243</v>
      </c>
      <c r="E31" s="43" t="s">
        <v>276</v>
      </c>
      <c r="F31" s="43" t="s">
        <v>35</v>
      </c>
      <c r="G31" s="43" t="s">
        <v>190</v>
      </c>
      <c r="H31" s="43" t="s">
        <v>189</v>
      </c>
      <c r="I31" s="43" t="s">
        <v>127</v>
      </c>
      <c r="J31" s="43"/>
      <c r="K31" s="43"/>
      <c r="L31" s="43" t="s">
        <v>106</v>
      </c>
      <c r="M31" s="43"/>
      <c r="N31" s="43" t="s">
        <v>118</v>
      </c>
      <c r="P31" s="50">
        <v>2000</v>
      </c>
      <c r="Q31" s="50">
        <v>1000</v>
      </c>
      <c r="R31" s="50">
        <v>1</v>
      </c>
      <c r="S31" s="50">
        <v>1</v>
      </c>
      <c r="T31" s="50">
        <v>1</v>
      </c>
      <c r="U31" s="50">
        <v>1</v>
      </c>
      <c r="V31" s="50">
        <v>1</v>
      </c>
      <c r="W31" s="50">
        <v>1</v>
      </c>
    </row>
    <row r="32" spans="1:23">
      <c r="A32">
        <v>31</v>
      </c>
      <c r="B32" s="42" t="s">
        <v>114</v>
      </c>
      <c r="C32" s="43" t="s">
        <v>245</v>
      </c>
      <c r="D32" s="43" t="s">
        <v>241</v>
      </c>
      <c r="E32" s="43" t="s">
        <v>35</v>
      </c>
      <c r="F32" s="43" t="s">
        <v>66</v>
      </c>
      <c r="G32" s="43" t="s">
        <v>191</v>
      </c>
      <c r="H32" s="43" t="s">
        <v>192</v>
      </c>
      <c r="I32" s="43"/>
      <c r="J32" s="43"/>
      <c r="K32" s="43"/>
      <c r="L32" s="43"/>
      <c r="M32" s="43"/>
      <c r="N32" s="43" t="s">
        <v>127</v>
      </c>
      <c r="P32" s="50">
        <v>2000</v>
      </c>
      <c r="Q32" s="50">
        <v>1000</v>
      </c>
      <c r="R32" s="50">
        <v>1</v>
      </c>
      <c r="S32" s="50">
        <v>1</v>
      </c>
      <c r="T32" s="50">
        <v>1</v>
      </c>
      <c r="U32" s="50">
        <v>1</v>
      </c>
      <c r="V32" s="50">
        <v>1</v>
      </c>
      <c r="W32" s="50">
        <v>1</v>
      </c>
    </row>
    <row r="33" spans="1:33">
      <c r="A33">
        <v>32</v>
      </c>
      <c r="B33" s="42" t="s">
        <v>109</v>
      </c>
      <c r="C33" s="43" t="s">
        <v>113</v>
      </c>
      <c r="D33" s="43" t="s">
        <v>241</v>
      </c>
      <c r="E33" s="43" t="s">
        <v>275</v>
      </c>
      <c r="F33" s="43" t="s">
        <v>66</v>
      </c>
      <c r="G33" s="43" t="s">
        <v>189</v>
      </c>
      <c r="H33" s="43" t="s">
        <v>191</v>
      </c>
      <c r="I33" s="43"/>
      <c r="J33" s="43"/>
      <c r="K33" s="43"/>
      <c r="L33" s="43"/>
      <c r="M33" s="43"/>
      <c r="N33" s="43" t="s">
        <v>100</v>
      </c>
      <c r="P33" s="50">
        <v>2000</v>
      </c>
      <c r="Q33" s="50">
        <v>1000</v>
      </c>
      <c r="R33" s="50">
        <v>1</v>
      </c>
      <c r="S33" s="50">
        <v>1</v>
      </c>
      <c r="T33" s="50">
        <v>1</v>
      </c>
      <c r="U33" s="50">
        <v>1</v>
      </c>
      <c r="V33" s="50">
        <v>1</v>
      </c>
      <c r="W33" s="50">
        <v>1</v>
      </c>
    </row>
    <row r="34" spans="1:33">
      <c r="A34">
        <v>33</v>
      </c>
      <c r="B34" s="42" t="s">
        <v>109</v>
      </c>
      <c r="C34" s="43" t="s">
        <v>185</v>
      </c>
      <c r="D34" s="43" t="s">
        <v>241</v>
      </c>
      <c r="E34" s="43" t="s">
        <v>276</v>
      </c>
      <c r="F34" s="43" t="s">
        <v>7</v>
      </c>
      <c r="G34" s="43" t="s">
        <v>191</v>
      </c>
      <c r="H34" s="43" t="s">
        <v>190</v>
      </c>
      <c r="I34" s="43"/>
      <c r="J34" s="43"/>
      <c r="K34" s="43" t="s">
        <v>104</v>
      </c>
      <c r="L34" s="43"/>
      <c r="M34" s="43"/>
      <c r="N34" s="43"/>
      <c r="P34" s="50">
        <v>2000</v>
      </c>
      <c r="Q34" s="50">
        <v>1000</v>
      </c>
      <c r="R34" s="50">
        <v>1</v>
      </c>
      <c r="S34" s="50">
        <v>1</v>
      </c>
      <c r="T34" s="50">
        <v>1</v>
      </c>
      <c r="U34" s="50">
        <v>1</v>
      </c>
      <c r="V34" s="50">
        <v>1</v>
      </c>
      <c r="W34" s="50">
        <v>1</v>
      </c>
    </row>
    <row r="35" spans="1:33">
      <c r="A35">
        <v>34</v>
      </c>
      <c r="B35" s="42" t="s">
        <v>109</v>
      </c>
      <c r="C35" s="43" t="s">
        <v>120</v>
      </c>
      <c r="D35" s="43" t="s">
        <v>242</v>
      </c>
      <c r="E35" s="43" t="s">
        <v>276</v>
      </c>
      <c r="F35" s="43" t="s">
        <v>7</v>
      </c>
      <c r="G35" s="43" t="s">
        <v>190</v>
      </c>
      <c r="H35" s="43" t="s">
        <v>191</v>
      </c>
      <c r="I35" s="43"/>
      <c r="J35" s="43"/>
      <c r="K35" s="43" t="s">
        <v>143</v>
      </c>
      <c r="L35" s="43" t="s">
        <v>176</v>
      </c>
      <c r="M35" s="43"/>
      <c r="N35" s="43"/>
      <c r="P35" s="50">
        <v>2000</v>
      </c>
      <c r="Q35" s="50">
        <v>1000</v>
      </c>
      <c r="R35" s="50">
        <v>1</v>
      </c>
      <c r="S35" s="50">
        <v>1</v>
      </c>
      <c r="T35" s="50">
        <v>1</v>
      </c>
      <c r="U35" s="50">
        <v>1</v>
      </c>
      <c r="V35" s="50">
        <v>1</v>
      </c>
      <c r="W35" s="50">
        <v>1</v>
      </c>
    </row>
    <row r="36" spans="1:33">
      <c r="A36">
        <v>35</v>
      </c>
      <c r="B36" s="42" t="s">
        <v>109</v>
      </c>
      <c r="C36" s="43" t="s">
        <v>112</v>
      </c>
      <c r="D36" s="43" t="s">
        <v>242</v>
      </c>
      <c r="E36" s="43" t="s">
        <v>35</v>
      </c>
      <c r="F36" s="43" t="s">
        <v>35</v>
      </c>
      <c r="G36" s="43" t="s">
        <v>189</v>
      </c>
      <c r="H36" s="43" t="s">
        <v>190</v>
      </c>
      <c r="I36" s="43" t="s">
        <v>106</v>
      </c>
      <c r="J36" s="43"/>
      <c r="K36" s="43"/>
      <c r="L36" s="43"/>
      <c r="M36" s="43"/>
      <c r="N36" s="43" t="s">
        <v>143</v>
      </c>
      <c r="P36" s="50">
        <v>2000</v>
      </c>
      <c r="Q36" s="50">
        <v>1000</v>
      </c>
      <c r="R36" s="50">
        <v>1</v>
      </c>
      <c r="S36" s="50">
        <v>1</v>
      </c>
      <c r="T36" s="50">
        <v>1</v>
      </c>
      <c r="U36" s="50">
        <v>1</v>
      </c>
      <c r="V36" s="50">
        <v>1</v>
      </c>
      <c r="W36" s="50">
        <v>1</v>
      </c>
    </row>
    <row r="37" spans="1:33">
      <c r="A37">
        <v>36</v>
      </c>
      <c r="B37" s="42" t="s">
        <v>109</v>
      </c>
      <c r="C37" s="43" t="s">
        <v>101</v>
      </c>
      <c r="D37" s="43" t="s">
        <v>243</v>
      </c>
      <c r="E37" s="43" t="s">
        <v>275</v>
      </c>
      <c r="F37" s="43" t="s">
        <v>35</v>
      </c>
      <c r="G37" s="43" t="s">
        <v>189</v>
      </c>
      <c r="H37" s="43" t="s">
        <v>189</v>
      </c>
      <c r="I37" s="43" t="s">
        <v>108</v>
      </c>
      <c r="J37" s="43"/>
      <c r="K37" s="43"/>
      <c r="L37" s="43" t="s">
        <v>127</v>
      </c>
      <c r="M37" s="43"/>
      <c r="N37" s="43" t="s">
        <v>104</v>
      </c>
      <c r="P37" s="50">
        <v>2000</v>
      </c>
      <c r="Q37" s="50">
        <v>1000</v>
      </c>
      <c r="R37" s="50">
        <v>1</v>
      </c>
      <c r="S37" s="50">
        <v>1</v>
      </c>
      <c r="T37" s="50">
        <v>1</v>
      </c>
      <c r="U37" s="50">
        <v>1</v>
      </c>
      <c r="V37" s="50">
        <v>1</v>
      </c>
      <c r="W37" s="50">
        <v>1</v>
      </c>
    </row>
    <row r="38" spans="1:33">
      <c r="A38">
        <v>37</v>
      </c>
      <c r="B38" s="42" t="s">
        <v>109</v>
      </c>
      <c r="C38" s="43" t="s">
        <v>164</v>
      </c>
      <c r="D38" s="43" t="s">
        <v>243</v>
      </c>
      <c r="E38" s="43" t="s">
        <v>276</v>
      </c>
      <c r="F38" s="43" t="s">
        <v>35</v>
      </c>
      <c r="G38" s="43" t="s">
        <v>189</v>
      </c>
      <c r="H38" s="43" t="s">
        <v>190</v>
      </c>
      <c r="I38" s="43" t="s">
        <v>177</v>
      </c>
      <c r="J38" s="43"/>
      <c r="K38" s="43" t="s">
        <v>119</v>
      </c>
      <c r="L38" s="43" t="s">
        <v>110</v>
      </c>
      <c r="M38" s="43"/>
      <c r="N38" s="43"/>
      <c r="P38" s="50">
        <v>2000</v>
      </c>
      <c r="Q38" s="50">
        <v>1000</v>
      </c>
      <c r="R38" s="50">
        <v>1</v>
      </c>
      <c r="S38" s="50">
        <v>1</v>
      </c>
      <c r="T38" s="50">
        <v>1</v>
      </c>
      <c r="U38" s="50">
        <v>1</v>
      </c>
      <c r="V38" s="50">
        <v>1</v>
      </c>
      <c r="W38" s="50">
        <v>1</v>
      </c>
    </row>
    <row r="39" spans="1:33">
      <c r="A39">
        <v>38</v>
      </c>
      <c r="B39" s="42" t="s">
        <v>143</v>
      </c>
      <c r="C39" s="43" t="s">
        <v>113</v>
      </c>
      <c r="D39" s="43" t="s">
        <v>241</v>
      </c>
      <c r="E39" s="43" t="s">
        <v>35</v>
      </c>
      <c r="F39" s="43" t="s">
        <v>35</v>
      </c>
      <c r="G39" s="43" t="s">
        <v>190</v>
      </c>
      <c r="H39" s="43" t="s">
        <v>189</v>
      </c>
      <c r="I39" s="43"/>
      <c r="J39" s="43"/>
      <c r="K39" s="43"/>
      <c r="L39" s="43"/>
      <c r="M39" s="43"/>
      <c r="N39" s="43" t="s">
        <v>109</v>
      </c>
      <c r="P39" s="50">
        <v>2000</v>
      </c>
      <c r="Q39" s="50">
        <v>1000</v>
      </c>
      <c r="R39" s="50">
        <v>1</v>
      </c>
      <c r="S39" s="50">
        <v>1</v>
      </c>
      <c r="T39" s="50">
        <v>1</v>
      </c>
      <c r="U39" s="50">
        <v>1</v>
      </c>
      <c r="V39" s="50">
        <v>1</v>
      </c>
      <c r="W39" s="50">
        <v>1</v>
      </c>
    </row>
    <row r="40" spans="1:33">
      <c r="A40">
        <v>39</v>
      </c>
      <c r="B40" s="42" t="s">
        <v>143</v>
      </c>
      <c r="C40" s="43" t="s">
        <v>185</v>
      </c>
      <c r="D40" s="43" t="s">
        <v>241</v>
      </c>
      <c r="E40" s="43" t="s">
        <v>276</v>
      </c>
      <c r="F40" s="43" t="s">
        <v>66</v>
      </c>
      <c r="G40" s="43" t="s">
        <v>189</v>
      </c>
      <c r="H40" s="43" t="s">
        <v>191</v>
      </c>
      <c r="I40" s="43"/>
      <c r="J40" s="43"/>
      <c r="K40" s="43" t="s">
        <v>127</v>
      </c>
      <c r="L40" s="43"/>
      <c r="M40" s="43"/>
      <c r="N40" s="43"/>
      <c r="P40" s="50">
        <v>2000</v>
      </c>
      <c r="Q40" s="50">
        <v>1000</v>
      </c>
      <c r="R40" s="50">
        <v>1</v>
      </c>
      <c r="S40" s="50">
        <v>1</v>
      </c>
      <c r="T40" s="50">
        <v>1</v>
      </c>
      <c r="U40" s="50">
        <v>1</v>
      </c>
      <c r="V40" s="50">
        <v>1</v>
      </c>
      <c r="W40" s="50">
        <v>1</v>
      </c>
    </row>
    <row r="41" spans="1:33">
      <c r="A41">
        <v>40</v>
      </c>
      <c r="B41" s="42" t="s">
        <v>143</v>
      </c>
      <c r="C41" s="43" t="s">
        <v>120</v>
      </c>
      <c r="D41" s="43" t="s">
        <v>242</v>
      </c>
      <c r="E41" s="43" t="s">
        <v>276</v>
      </c>
      <c r="F41" s="43" t="s">
        <v>66</v>
      </c>
      <c r="G41" s="43" t="s">
        <v>192</v>
      </c>
      <c r="H41" s="43" t="s">
        <v>191</v>
      </c>
      <c r="I41" s="43"/>
      <c r="J41" s="43"/>
      <c r="K41" s="43" t="s">
        <v>104</v>
      </c>
      <c r="L41" s="43" t="s">
        <v>150</v>
      </c>
      <c r="M41" s="43"/>
      <c r="N41" s="43"/>
      <c r="P41" s="50">
        <v>2000</v>
      </c>
      <c r="Q41" s="50">
        <v>1000</v>
      </c>
      <c r="R41" s="50">
        <v>1</v>
      </c>
      <c r="S41" s="50">
        <v>1</v>
      </c>
      <c r="T41" s="50">
        <v>1</v>
      </c>
      <c r="U41" s="50">
        <v>1</v>
      </c>
      <c r="V41" s="50">
        <v>1</v>
      </c>
      <c r="W41" s="50">
        <v>1</v>
      </c>
      <c r="X41" s="24"/>
      <c r="Y41" s="24"/>
      <c r="Z41" s="24"/>
      <c r="AA41" s="24"/>
      <c r="AB41" s="24"/>
      <c r="AC41" s="24"/>
      <c r="AD41" s="24"/>
      <c r="AE41" s="24"/>
      <c r="AF41" s="24"/>
      <c r="AG41" s="24"/>
    </row>
    <row r="42" spans="1:33" ht="20" customHeight="1">
      <c r="A42">
        <v>41</v>
      </c>
      <c r="B42" s="42" t="s">
        <v>143</v>
      </c>
      <c r="C42" s="43" t="s">
        <v>112</v>
      </c>
      <c r="D42" s="43" t="s">
        <v>242</v>
      </c>
      <c r="E42" s="43" t="s">
        <v>275</v>
      </c>
      <c r="F42" s="43" t="s">
        <v>35</v>
      </c>
      <c r="G42" s="43" t="s">
        <v>190</v>
      </c>
      <c r="H42" s="43" t="s">
        <v>189</v>
      </c>
      <c r="I42" s="43" t="s">
        <v>98</v>
      </c>
      <c r="J42" s="43"/>
      <c r="K42" s="43"/>
      <c r="L42" s="43"/>
      <c r="M42" s="43"/>
      <c r="N42" s="43" t="s">
        <v>177</v>
      </c>
      <c r="P42" s="50">
        <v>2000</v>
      </c>
      <c r="Q42" s="50">
        <v>1000</v>
      </c>
      <c r="R42" s="50">
        <v>1</v>
      </c>
      <c r="S42" s="50">
        <v>1</v>
      </c>
      <c r="T42" s="50">
        <v>1</v>
      </c>
      <c r="U42" s="50">
        <v>1</v>
      </c>
      <c r="V42" s="50">
        <v>1</v>
      </c>
      <c r="W42" s="50">
        <v>1</v>
      </c>
    </row>
    <row r="43" spans="1:33" ht="20" customHeight="1">
      <c r="A43">
        <v>42</v>
      </c>
      <c r="B43" s="42" t="s">
        <v>143</v>
      </c>
      <c r="C43" s="43" t="s">
        <v>101</v>
      </c>
      <c r="D43" s="43" t="s">
        <v>243</v>
      </c>
      <c r="E43" s="43" t="s">
        <v>275</v>
      </c>
      <c r="F43" s="43" t="s">
        <v>66</v>
      </c>
      <c r="G43" s="43" t="s">
        <v>191</v>
      </c>
      <c r="H43" s="43" t="s">
        <v>189</v>
      </c>
      <c r="I43" s="43" t="s">
        <v>109</v>
      </c>
      <c r="J43" s="43"/>
      <c r="K43" s="43"/>
      <c r="L43" s="43" t="s">
        <v>150</v>
      </c>
      <c r="M43" s="43"/>
      <c r="N43" s="43" t="s">
        <v>104</v>
      </c>
      <c r="P43" s="50">
        <v>2000</v>
      </c>
      <c r="Q43" s="50">
        <v>1000</v>
      </c>
      <c r="R43" s="50">
        <v>1</v>
      </c>
      <c r="S43" s="50">
        <v>1</v>
      </c>
      <c r="T43" s="50">
        <v>1</v>
      </c>
      <c r="U43" s="50">
        <v>1</v>
      </c>
      <c r="V43" s="50">
        <v>1</v>
      </c>
      <c r="W43" s="50">
        <v>1</v>
      </c>
    </row>
    <row r="44" spans="1:33" ht="20" customHeight="1">
      <c r="A44">
        <v>43</v>
      </c>
      <c r="B44" s="42" t="s">
        <v>143</v>
      </c>
      <c r="C44" s="43" t="s">
        <v>162</v>
      </c>
      <c r="D44" s="43" t="s">
        <v>242</v>
      </c>
      <c r="E44" s="43" t="s">
        <v>275</v>
      </c>
      <c r="F44" s="43" t="s">
        <v>35</v>
      </c>
      <c r="G44" s="43" t="s">
        <v>189</v>
      </c>
      <c r="H44" s="43" t="s">
        <v>190</v>
      </c>
      <c r="I44" s="43"/>
      <c r="J44" s="43"/>
      <c r="K44" s="43" t="s">
        <v>103</v>
      </c>
      <c r="L44" s="43" t="s">
        <v>104</v>
      </c>
      <c r="M44" s="43"/>
      <c r="N44" s="43"/>
      <c r="P44" s="50">
        <v>2000</v>
      </c>
      <c r="Q44" s="50">
        <v>1000</v>
      </c>
      <c r="R44" s="50">
        <v>1</v>
      </c>
      <c r="S44" s="50">
        <v>1</v>
      </c>
      <c r="T44" s="50">
        <v>1</v>
      </c>
      <c r="U44" s="50">
        <v>1</v>
      </c>
      <c r="V44" s="50">
        <v>1</v>
      </c>
      <c r="W44" s="50">
        <v>1</v>
      </c>
    </row>
    <row r="45" spans="1:33" ht="20" customHeight="1">
      <c r="A45">
        <v>44</v>
      </c>
      <c r="B45" s="42" t="s">
        <v>104</v>
      </c>
      <c r="C45" s="43" t="s">
        <v>113</v>
      </c>
      <c r="D45" s="43" t="s">
        <v>241</v>
      </c>
      <c r="E45" s="43" t="s">
        <v>35</v>
      </c>
      <c r="F45" s="43" t="s">
        <v>35</v>
      </c>
      <c r="G45" s="43" t="s">
        <v>189</v>
      </c>
      <c r="H45" s="43" t="s">
        <v>190</v>
      </c>
      <c r="I45" s="43"/>
      <c r="J45" s="43"/>
      <c r="K45" s="43" t="s">
        <v>109</v>
      </c>
      <c r="L45" s="43"/>
      <c r="M45" s="43"/>
      <c r="N45" s="43"/>
      <c r="P45" s="50">
        <v>2000</v>
      </c>
      <c r="Q45" s="50">
        <v>1000</v>
      </c>
      <c r="R45" s="50">
        <v>1</v>
      </c>
      <c r="S45" s="50">
        <v>1</v>
      </c>
      <c r="T45" s="50">
        <v>1</v>
      </c>
      <c r="U45" s="50">
        <v>1</v>
      </c>
      <c r="V45" s="50">
        <v>1</v>
      </c>
      <c r="W45" s="50">
        <v>1</v>
      </c>
    </row>
    <row r="46" spans="1:33" ht="20" customHeight="1">
      <c r="A46">
        <v>45</v>
      </c>
      <c r="B46" s="42" t="s">
        <v>104</v>
      </c>
      <c r="C46" s="43" t="s">
        <v>185</v>
      </c>
      <c r="D46" s="43" t="s">
        <v>241</v>
      </c>
      <c r="E46" s="43" t="s">
        <v>275</v>
      </c>
      <c r="F46" s="43" t="s">
        <v>7</v>
      </c>
      <c r="G46" s="43" t="s">
        <v>190</v>
      </c>
      <c r="H46" s="43" t="s">
        <v>191</v>
      </c>
      <c r="I46" s="43"/>
      <c r="J46" s="43"/>
      <c r="K46" s="43"/>
      <c r="L46" s="43"/>
      <c r="M46" s="43"/>
      <c r="N46" s="43" t="s">
        <v>114</v>
      </c>
      <c r="P46" s="50">
        <v>2000</v>
      </c>
      <c r="Q46" s="50">
        <v>1000</v>
      </c>
      <c r="R46" s="50">
        <v>1</v>
      </c>
      <c r="S46" s="50">
        <v>1</v>
      </c>
      <c r="T46" s="50">
        <v>1</v>
      </c>
      <c r="U46" s="50">
        <v>1</v>
      </c>
      <c r="V46" s="50">
        <v>1</v>
      </c>
      <c r="W46" s="50">
        <v>1</v>
      </c>
    </row>
    <row r="47" spans="1:33">
      <c r="A47">
        <v>46</v>
      </c>
      <c r="B47" s="42" t="s">
        <v>104</v>
      </c>
      <c r="C47" s="43" t="s">
        <v>120</v>
      </c>
      <c r="D47" s="43" t="s">
        <v>242</v>
      </c>
      <c r="E47" s="43" t="s">
        <v>275</v>
      </c>
      <c r="F47" s="43" t="s">
        <v>7</v>
      </c>
      <c r="G47" s="43" t="s">
        <v>191</v>
      </c>
      <c r="H47" s="43" t="s">
        <v>190</v>
      </c>
      <c r="I47" s="43" t="s">
        <v>105</v>
      </c>
      <c r="J47" s="43"/>
      <c r="K47" s="43"/>
      <c r="L47" s="43"/>
      <c r="M47" s="43"/>
      <c r="N47" s="43" t="s">
        <v>100</v>
      </c>
      <c r="P47" s="50">
        <v>2000</v>
      </c>
      <c r="Q47" s="50">
        <v>1000</v>
      </c>
      <c r="R47" s="50">
        <v>1</v>
      </c>
      <c r="S47" s="50">
        <v>1</v>
      </c>
      <c r="T47" s="50">
        <v>1</v>
      </c>
      <c r="U47" s="50">
        <v>1</v>
      </c>
      <c r="V47" s="50">
        <v>1</v>
      </c>
      <c r="W47" s="50">
        <v>1</v>
      </c>
    </row>
    <row r="48" spans="1:33" ht="20" customHeight="1">
      <c r="A48">
        <v>47</v>
      </c>
      <c r="B48" s="42" t="s">
        <v>104</v>
      </c>
      <c r="C48" s="43" t="s">
        <v>112</v>
      </c>
      <c r="D48" s="43" t="s">
        <v>242</v>
      </c>
      <c r="E48" s="43" t="s">
        <v>276</v>
      </c>
      <c r="F48" s="43" t="s">
        <v>66</v>
      </c>
      <c r="G48" s="43" t="s">
        <v>189</v>
      </c>
      <c r="H48" s="43" t="s">
        <v>191</v>
      </c>
      <c r="I48" s="43"/>
      <c r="J48" s="43"/>
      <c r="K48" s="43" t="s">
        <v>115</v>
      </c>
      <c r="L48" s="43" t="s">
        <v>143</v>
      </c>
      <c r="M48" s="43"/>
      <c r="N48" s="43"/>
      <c r="P48" s="50">
        <v>2000</v>
      </c>
      <c r="Q48" s="50">
        <v>1000</v>
      </c>
      <c r="R48" s="50">
        <v>1</v>
      </c>
      <c r="S48" s="50">
        <v>1</v>
      </c>
      <c r="T48" s="50">
        <v>1</v>
      </c>
      <c r="U48" s="50">
        <v>1</v>
      </c>
      <c r="V48" s="50">
        <v>1</v>
      </c>
      <c r="W48" s="50">
        <v>1</v>
      </c>
    </row>
    <row r="49" spans="1:23" ht="20" customHeight="1">
      <c r="A49">
        <v>48</v>
      </c>
      <c r="B49" s="42" t="s">
        <v>104</v>
      </c>
      <c r="C49" s="43" t="s">
        <v>101</v>
      </c>
      <c r="D49" s="43" t="s">
        <v>243</v>
      </c>
      <c r="E49" s="43" t="s">
        <v>276</v>
      </c>
      <c r="F49" s="43" t="s">
        <v>7</v>
      </c>
      <c r="G49" s="43" t="s">
        <v>192</v>
      </c>
      <c r="H49" s="43" t="s">
        <v>190</v>
      </c>
      <c r="I49" s="43" t="s">
        <v>109</v>
      </c>
      <c r="J49" s="43"/>
      <c r="K49" s="43"/>
      <c r="L49" s="43" t="s">
        <v>103</v>
      </c>
      <c r="M49" s="43"/>
      <c r="N49" s="43" t="s">
        <v>143</v>
      </c>
      <c r="P49" s="50">
        <v>2000</v>
      </c>
      <c r="Q49" s="50">
        <v>1000</v>
      </c>
      <c r="R49" s="50">
        <v>1</v>
      </c>
      <c r="S49" s="50">
        <v>1</v>
      </c>
      <c r="T49" s="50">
        <v>1</v>
      </c>
      <c r="U49" s="50">
        <v>1</v>
      </c>
      <c r="V49" s="50">
        <v>1</v>
      </c>
      <c r="W49" s="50">
        <v>1</v>
      </c>
    </row>
    <row r="50" spans="1:23" ht="20" customHeight="1">
      <c r="A50">
        <v>49</v>
      </c>
      <c r="B50" s="42" t="s">
        <v>104</v>
      </c>
      <c r="C50" s="43" t="s">
        <v>164</v>
      </c>
      <c r="D50" s="43" t="s">
        <v>241</v>
      </c>
      <c r="E50" s="43" t="s">
        <v>275</v>
      </c>
      <c r="F50" s="43" t="s">
        <v>35</v>
      </c>
      <c r="G50" s="43" t="s">
        <v>192</v>
      </c>
      <c r="H50" s="43" t="s">
        <v>189</v>
      </c>
      <c r="I50" s="43"/>
      <c r="J50" s="43"/>
      <c r="K50" s="43"/>
      <c r="L50" s="43"/>
      <c r="M50" s="43"/>
      <c r="N50" s="43" t="s">
        <v>105</v>
      </c>
      <c r="P50" s="50">
        <v>2000</v>
      </c>
      <c r="Q50" s="50">
        <v>1000</v>
      </c>
      <c r="R50" s="50">
        <v>1</v>
      </c>
      <c r="S50" s="50">
        <v>1</v>
      </c>
      <c r="T50" s="50">
        <v>1</v>
      </c>
      <c r="U50" s="50">
        <v>1</v>
      </c>
      <c r="V50" s="50">
        <v>1</v>
      </c>
      <c r="W50" s="50">
        <v>1</v>
      </c>
    </row>
    <row r="51" spans="1:23" ht="20" customHeight="1">
      <c r="A51">
        <v>50</v>
      </c>
      <c r="B51" s="42" t="s">
        <v>103</v>
      </c>
      <c r="C51" s="43" t="s">
        <v>113</v>
      </c>
      <c r="D51" s="43" t="s">
        <v>241</v>
      </c>
      <c r="E51" s="43" t="s">
        <v>276</v>
      </c>
      <c r="F51" s="43" t="s">
        <v>7</v>
      </c>
      <c r="G51" s="43" t="s">
        <v>190</v>
      </c>
      <c r="H51" s="43" t="s">
        <v>191</v>
      </c>
      <c r="I51" s="43"/>
      <c r="J51" s="43"/>
      <c r="K51" s="43" t="s">
        <v>150</v>
      </c>
      <c r="L51" s="43"/>
      <c r="M51" s="43"/>
      <c r="N51" s="43"/>
      <c r="P51" s="50">
        <v>2000</v>
      </c>
      <c r="Q51" s="50">
        <v>1000</v>
      </c>
      <c r="R51" s="50">
        <v>1</v>
      </c>
      <c r="S51" s="50">
        <v>1</v>
      </c>
      <c r="T51" s="50">
        <v>1</v>
      </c>
      <c r="U51" s="50">
        <v>1</v>
      </c>
      <c r="V51" s="50">
        <v>1</v>
      </c>
      <c r="W51" s="50">
        <v>1</v>
      </c>
    </row>
    <row r="52" spans="1:23" ht="20" customHeight="1">
      <c r="A52">
        <v>51</v>
      </c>
      <c r="B52" s="42" t="s">
        <v>103</v>
      </c>
      <c r="C52" s="43" t="s">
        <v>185</v>
      </c>
      <c r="D52" s="43" t="s">
        <v>241</v>
      </c>
      <c r="E52" s="43" t="s">
        <v>275</v>
      </c>
      <c r="F52" s="43" t="s">
        <v>66</v>
      </c>
      <c r="G52" s="43" t="s">
        <v>191</v>
      </c>
      <c r="H52" s="43" t="s">
        <v>189</v>
      </c>
      <c r="I52" s="43"/>
      <c r="J52" s="43"/>
      <c r="K52" s="43"/>
      <c r="L52" s="43"/>
      <c r="M52" s="43"/>
      <c r="N52" s="43" t="s">
        <v>115</v>
      </c>
      <c r="P52" s="50">
        <v>2000</v>
      </c>
      <c r="Q52" s="50">
        <v>1000</v>
      </c>
      <c r="R52" s="50">
        <v>1</v>
      </c>
      <c r="S52" s="50">
        <v>1</v>
      </c>
      <c r="T52" s="50">
        <v>1</v>
      </c>
      <c r="U52" s="50">
        <v>1</v>
      </c>
      <c r="V52" s="50">
        <v>1</v>
      </c>
      <c r="W52" s="50">
        <v>1</v>
      </c>
    </row>
    <row r="53" spans="1:23">
      <c r="A53">
        <v>52</v>
      </c>
      <c r="B53" s="42" t="s">
        <v>103</v>
      </c>
      <c r="C53" s="43" t="s">
        <v>120</v>
      </c>
      <c r="D53" s="43" t="s">
        <v>242</v>
      </c>
      <c r="E53" s="43" t="s">
        <v>276</v>
      </c>
      <c r="F53" s="43" t="s">
        <v>66</v>
      </c>
      <c r="G53" s="43" t="s">
        <v>189</v>
      </c>
      <c r="H53" s="43" t="s">
        <v>191</v>
      </c>
      <c r="I53" s="43"/>
      <c r="J53" s="43"/>
      <c r="K53" s="43" t="s">
        <v>111</v>
      </c>
      <c r="L53" s="43" t="s">
        <v>176</v>
      </c>
      <c r="M53" s="43"/>
      <c r="N53" s="43"/>
      <c r="P53" s="50">
        <v>2000</v>
      </c>
      <c r="Q53" s="50">
        <v>1000</v>
      </c>
      <c r="R53" s="50">
        <v>1</v>
      </c>
      <c r="S53" s="50">
        <v>1</v>
      </c>
      <c r="T53" s="50">
        <v>1</v>
      </c>
      <c r="U53" s="50">
        <v>1</v>
      </c>
      <c r="V53" s="50">
        <v>1</v>
      </c>
      <c r="W53" s="50">
        <v>1</v>
      </c>
    </row>
    <row r="54" spans="1:23">
      <c r="A54">
        <v>53</v>
      </c>
      <c r="B54" s="42" t="s">
        <v>103</v>
      </c>
      <c r="C54" s="43" t="s">
        <v>112</v>
      </c>
      <c r="D54" s="43" t="s">
        <v>242</v>
      </c>
      <c r="E54" s="43" t="s">
        <v>275</v>
      </c>
      <c r="F54" s="43" t="s">
        <v>35</v>
      </c>
      <c r="G54" s="43" t="s">
        <v>192</v>
      </c>
      <c r="H54" s="43" t="s">
        <v>189</v>
      </c>
      <c r="I54" s="43" t="s">
        <v>115</v>
      </c>
      <c r="J54" s="43"/>
      <c r="K54" s="43"/>
      <c r="L54" s="43"/>
      <c r="M54" s="43"/>
      <c r="N54" s="43" t="s">
        <v>108</v>
      </c>
      <c r="P54" s="50">
        <v>2000</v>
      </c>
      <c r="Q54" s="50">
        <v>1000</v>
      </c>
      <c r="R54" s="50">
        <v>1</v>
      </c>
      <c r="S54" s="50">
        <v>1</v>
      </c>
      <c r="T54" s="50">
        <v>1</v>
      </c>
      <c r="U54" s="50">
        <v>1</v>
      </c>
      <c r="V54" s="50">
        <v>1</v>
      </c>
      <c r="W54" s="50">
        <v>1</v>
      </c>
    </row>
    <row r="55" spans="1:23">
      <c r="A55">
        <v>54</v>
      </c>
      <c r="B55" s="42" t="s">
        <v>103</v>
      </c>
      <c r="C55" s="43" t="s">
        <v>101</v>
      </c>
      <c r="D55" s="43" t="s">
        <v>243</v>
      </c>
      <c r="E55" s="43" t="s">
        <v>35</v>
      </c>
      <c r="F55" s="43" t="s">
        <v>7</v>
      </c>
      <c r="G55" s="43" t="s">
        <v>190</v>
      </c>
      <c r="H55" s="43" t="s">
        <v>190</v>
      </c>
      <c r="I55" s="43"/>
      <c r="J55" s="43"/>
      <c r="K55" s="43" t="s">
        <v>150</v>
      </c>
      <c r="L55" s="43" t="s">
        <v>100</v>
      </c>
      <c r="M55" s="43" t="s">
        <v>30</v>
      </c>
      <c r="N55" s="43"/>
      <c r="P55" s="50">
        <v>2000</v>
      </c>
      <c r="Q55" s="50">
        <v>1000</v>
      </c>
      <c r="R55" s="50">
        <v>1</v>
      </c>
      <c r="S55" s="50">
        <v>1</v>
      </c>
      <c r="T55" s="50">
        <v>1</v>
      </c>
      <c r="U55" s="50">
        <v>1</v>
      </c>
      <c r="V55" s="50">
        <v>1</v>
      </c>
      <c r="W55" s="50">
        <v>1</v>
      </c>
    </row>
    <row r="56" spans="1:23">
      <c r="A56">
        <v>55</v>
      </c>
      <c r="B56" s="42" t="s">
        <v>103</v>
      </c>
      <c r="C56" s="43" t="s">
        <v>162</v>
      </c>
      <c r="D56" s="43" t="s">
        <v>243</v>
      </c>
      <c r="E56" s="43" t="s">
        <v>276</v>
      </c>
      <c r="F56" s="43" t="s">
        <v>35</v>
      </c>
      <c r="G56" s="43" t="s">
        <v>192</v>
      </c>
      <c r="H56" s="43" t="s">
        <v>189</v>
      </c>
      <c r="I56" s="43" t="s">
        <v>177</v>
      </c>
      <c r="J56" s="43"/>
      <c r="K56" s="43"/>
      <c r="L56" s="43" t="s">
        <v>127</v>
      </c>
      <c r="M56" s="43"/>
      <c r="N56" s="43" t="s">
        <v>143</v>
      </c>
      <c r="P56" s="50">
        <v>2000</v>
      </c>
      <c r="Q56" s="50">
        <v>1000</v>
      </c>
      <c r="R56" s="50">
        <v>1</v>
      </c>
      <c r="S56" s="50">
        <v>1</v>
      </c>
      <c r="T56" s="50">
        <v>1</v>
      </c>
      <c r="U56" s="50">
        <v>1</v>
      </c>
      <c r="V56" s="50">
        <v>1</v>
      </c>
      <c r="W56" s="50">
        <v>1</v>
      </c>
    </row>
    <row r="57" spans="1:23">
      <c r="A57">
        <v>56</v>
      </c>
      <c r="B57" s="42" t="s">
        <v>150</v>
      </c>
      <c r="C57" s="43" t="s">
        <v>113</v>
      </c>
      <c r="D57" s="43" t="s">
        <v>241</v>
      </c>
      <c r="E57" s="43" t="s">
        <v>276</v>
      </c>
      <c r="F57" s="43" t="s">
        <v>7</v>
      </c>
      <c r="G57" s="43" t="s">
        <v>191</v>
      </c>
      <c r="H57" s="43" t="s">
        <v>190</v>
      </c>
      <c r="I57" s="43"/>
      <c r="J57" s="43"/>
      <c r="K57" s="43" t="s">
        <v>115</v>
      </c>
      <c r="L57" s="43"/>
      <c r="M57" s="43"/>
      <c r="N57" s="43"/>
      <c r="P57" s="50">
        <v>2000</v>
      </c>
      <c r="Q57" s="50">
        <v>1000</v>
      </c>
      <c r="R57" s="50">
        <v>1</v>
      </c>
      <c r="S57" s="50">
        <v>1</v>
      </c>
      <c r="T57" s="50">
        <v>1</v>
      </c>
      <c r="U57" s="50">
        <v>1</v>
      </c>
      <c r="V57" s="50">
        <v>1</v>
      </c>
      <c r="W57" s="50">
        <v>1</v>
      </c>
    </row>
    <row r="58" spans="1:23">
      <c r="A58">
        <v>57</v>
      </c>
      <c r="B58" s="42" t="s">
        <v>150</v>
      </c>
      <c r="C58" s="43" t="s">
        <v>185</v>
      </c>
      <c r="D58" s="43" t="s">
        <v>241</v>
      </c>
      <c r="E58" s="43" t="s">
        <v>35</v>
      </c>
      <c r="F58" s="43" t="s">
        <v>35</v>
      </c>
      <c r="G58" s="43" t="s">
        <v>189</v>
      </c>
      <c r="H58" s="43" t="s">
        <v>190</v>
      </c>
      <c r="I58" s="43"/>
      <c r="J58" s="43"/>
      <c r="K58" s="43" t="s">
        <v>100</v>
      </c>
      <c r="L58" s="43"/>
      <c r="M58" s="43"/>
      <c r="N58" s="43"/>
      <c r="P58" s="50">
        <v>2000</v>
      </c>
      <c r="Q58" s="50">
        <v>1000</v>
      </c>
      <c r="R58" s="50">
        <v>1</v>
      </c>
      <c r="S58" s="50">
        <v>1</v>
      </c>
      <c r="T58" s="50">
        <v>1</v>
      </c>
      <c r="U58" s="50">
        <v>1</v>
      </c>
      <c r="V58" s="50">
        <v>1</v>
      </c>
      <c r="W58" s="50">
        <v>1</v>
      </c>
    </row>
    <row r="59" spans="1:23">
      <c r="A59">
        <v>58</v>
      </c>
      <c r="B59" s="42" t="s">
        <v>150</v>
      </c>
      <c r="C59" s="43" t="s">
        <v>120</v>
      </c>
      <c r="D59" s="43" t="s">
        <v>242</v>
      </c>
      <c r="E59" s="43" t="s">
        <v>275</v>
      </c>
      <c r="F59" s="43" t="s">
        <v>35</v>
      </c>
      <c r="G59" s="43" t="s">
        <v>190</v>
      </c>
      <c r="H59" s="43" t="s">
        <v>189</v>
      </c>
      <c r="I59" s="43" t="s">
        <v>115</v>
      </c>
      <c r="J59" s="43"/>
      <c r="K59" s="43"/>
      <c r="L59" s="43"/>
      <c r="M59" s="43"/>
      <c r="N59" s="43" t="s">
        <v>118</v>
      </c>
      <c r="P59" s="50">
        <v>2000</v>
      </c>
      <c r="Q59" s="50">
        <v>1000</v>
      </c>
      <c r="R59" s="50">
        <v>1</v>
      </c>
      <c r="S59" s="50">
        <v>1</v>
      </c>
      <c r="T59" s="50">
        <v>1</v>
      </c>
      <c r="U59" s="50">
        <v>1</v>
      </c>
      <c r="V59" s="50">
        <v>1</v>
      </c>
      <c r="W59" s="50">
        <v>1</v>
      </c>
    </row>
    <row r="60" spans="1:23">
      <c r="A60">
        <v>59</v>
      </c>
      <c r="B60" s="42" t="s">
        <v>150</v>
      </c>
      <c r="C60" s="43" t="s">
        <v>112</v>
      </c>
      <c r="D60" s="43" t="s">
        <v>242</v>
      </c>
      <c r="E60" s="43" t="s">
        <v>275</v>
      </c>
      <c r="F60" s="43" t="s">
        <v>66</v>
      </c>
      <c r="G60" s="43" t="s">
        <v>191</v>
      </c>
      <c r="H60" s="43" t="s">
        <v>192</v>
      </c>
      <c r="I60" s="43" t="s">
        <v>119</v>
      </c>
      <c r="J60" s="43"/>
      <c r="K60" s="43"/>
      <c r="L60" s="43"/>
      <c r="M60" s="43"/>
      <c r="N60" s="43" t="s">
        <v>114</v>
      </c>
      <c r="P60" s="50">
        <v>2000</v>
      </c>
      <c r="Q60" s="50">
        <v>1000</v>
      </c>
      <c r="R60" s="50">
        <v>1</v>
      </c>
      <c r="S60" s="50">
        <v>1</v>
      </c>
      <c r="T60" s="50">
        <v>1</v>
      </c>
      <c r="U60" s="50">
        <v>1</v>
      </c>
      <c r="V60" s="50">
        <v>1</v>
      </c>
      <c r="W60" s="50">
        <v>1</v>
      </c>
    </row>
    <row r="61" spans="1:23">
      <c r="A61">
        <v>60</v>
      </c>
      <c r="B61" s="42" t="s">
        <v>150</v>
      </c>
      <c r="C61" s="43" t="s">
        <v>101</v>
      </c>
      <c r="D61" s="43" t="s">
        <v>243</v>
      </c>
      <c r="E61" s="43" t="s">
        <v>276</v>
      </c>
      <c r="F61" s="43" t="s">
        <v>7</v>
      </c>
      <c r="G61" s="43" t="s">
        <v>190</v>
      </c>
      <c r="H61" s="43" t="s">
        <v>191</v>
      </c>
      <c r="I61" s="43" t="s">
        <v>114</v>
      </c>
      <c r="J61" s="43"/>
      <c r="K61" s="43"/>
      <c r="L61" s="43" t="s">
        <v>103</v>
      </c>
      <c r="M61" s="43"/>
      <c r="N61" s="43" t="s">
        <v>115</v>
      </c>
      <c r="P61" s="50">
        <v>2000</v>
      </c>
      <c r="Q61" s="50">
        <v>1000</v>
      </c>
      <c r="R61" s="50">
        <v>1</v>
      </c>
      <c r="S61" s="50">
        <v>1</v>
      </c>
      <c r="T61" s="50">
        <v>1</v>
      </c>
      <c r="U61" s="50">
        <v>1</v>
      </c>
      <c r="V61" s="50">
        <v>1</v>
      </c>
      <c r="W61" s="50">
        <v>1</v>
      </c>
    </row>
    <row r="62" spans="1:23">
      <c r="A62">
        <v>61</v>
      </c>
      <c r="B62" s="42" t="s">
        <v>150</v>
      </c>
      <c r="C62" s="43" t="s">
        <v>162</v>
      </c>
      <c r="D62" s="43" t="s">
        <v>242</v>
      </c>
      <c r="E62" s="43" t="s">
        <v>276</v>
      </c>
      <c r="F62" s="43" t="s">
        <v>66</v>
      </c>
      <c r="G62" s="43" t="s">
        <v>191</v>
      </c>
      <c r="H62" s="43" t="s">
        <v>189</v>
      </c>
      <c r="I62" s="43" t="s">
        <v>107</v>
      </c>
      <c r="J62" s="43"/>
      <c r="K62" s="43"/>
      <c r="L62" s="43"/>
      <c r="M62" s="43"/>
      <c r="N62" s="43" t="s">
        <v>106</v>
      </c>
      <c r="P62" s="50">
        <v>2000</v>
      </c>
      <c r="Q62" s="50">
        <v>1000</v>
      </c>
      <c r="R62" s="50">
        <v>1</v>
      </c>
      <c r="S62" s="50">
        <v>1</v>
      </c>
      <c r="T62" s="50">
        <v>1</v>
      </c>
      <c r="U62" s="50">
        <v>1</v>
      </c>
      <c r="V62" s="50">
        <v>1</v>
      </c>
      <c r="W62" s="50">
        <v>1</v>
      </c>
    </row>
    <row r="63" spans="1:23">
      <c r="A63">
        <v>62</v>
      </c>
      <c r="B63" s="42" t="s">
        <v>115</v>
      </c>
      <c r="C63" s="43" t="s">
        <v>113</v>
      </c>
      <c r="D63" s="43" t="s">
        <v>241</v>
      </c>
      <c r="E63" s="43" t="s">
        <v>275</v>
      </c>
      <c r="F63" s="43" t="s">
        <v>35</v>
      </c>
      <c r="G63" s="43" t="s">
        <v>189</v>
      </c>
      <c r="H63" s="43" t="s">
        <v>190</v>
      </c>
      <c r="I63" s="43"/>
      <c r="J63" s="43"/>
      <c r="K63" s="43"/>
      <c r="L63" s="43"/>
      <c r="M63" s="43"/>
      <c r="N63" s="43" t="s">
        <v>103</v>
      </c>
      <c r="P63" s="50">
        <v>2000</v>
      </c>
      <c r="Q63" s="50">
        <v>1000</v>
      </c>
      <c r="R63" s="50">
        <v>1</v>
      </c>
      <c r="S63" s="50">
        <v>1</v>
      </c>
      <c r="T63" s="50">
        <v>1</v>
      </c>
      <c r="U63" s="50">
        <v>1</v>
      </c>
      <c r="V63" s="50">
        <v>1</v>
      </c>
      <c r="W63" s="50">
        <v>1</v>
      </c>
    </row>
    <row r="64" spans="1:23">
      <c r="A64">
        <v>63</v>
      </c>
      <c r="B64" s="42" t="s">
        <v>115</v>
      </c>
      <c r="C64" s="43" t="s">
        <v>185</v>
      </c>
      <c r="D64" s="43" t="s">
        <v>241</v>
      </c>
      <c r="E64" s="43" t="s">
        <v>35</v>
      </c>
      <c r="F64" s="43" t="s">
        <v>66</v>
      </c>
      <c r="G64" s="43" t="s">
        <v>191</v>
      </c>
      <c r="H64" s="43" t="s">
        <v>191</v>
      </c>
      <c r="I64" s="43"/>
      <c r="J64" s="43"/>
      <c r="K64" s="43"/>
      <c r="L64" s="43"/>
      <c r="M64" s="43"/>
      <c r="N64" s="43" t="s">
        <v>150</v>
      </c>
      <c r="P64" s="50">
        <v>2000</v>
      </c>
      <c r="Q64" s="50">
        <v>1000</v>
      </c>
      <c r="R64" s="50">
        <v>1</v>
      </c>
      <c r="S64" s="50">
        <v>1</v>
      </c>
      <c r="T64" s="50">
        <v>1</v>
      </c>
      <c r="U64" s="50">
        <v>1</v>
      </c>
      <c r="V64" s="50">
        <v>1</v>
      </c>
      <c r="W64" s="50">
        <v>1</v>
      </c>
    </row>
    <row r="65" spans="1:23">
      <c r="A65">
        <v>64</v>
      </c>
      <c r="B65" s="42" t="s">
        <v>115</v>
      </c>
      <c r="C65" s="43" t="s">
        <v>120</v>
      </c>
      <c r="D65" s="43" t="s">
        <v>242</v>
      </c>
      <c r="E65" s="43" t="s">
        <v>276</v>
      </c>
      <c r="F65" s="43" t="s">
        <v>7</v>
      </c>
      <c r="G65" s="43" t="s">
        <v>190</v>
      </c>
      <c r="H65" s="43" t="s">
        <v>192</v>
      </c>
      <c r="I65" s="43"/>
      <c r="J65" s="43"/>
      <c r="K65" s="43" t="s">
        <v>98</v>
      </c>
      <c r="L65" s="43" t="s">
        <v>106</v>
      </c>
      <c r="M65" s="43"/>
      <c r="N65" s="43"/>
      <c r="P65" s="50">
        <v>2000</v>
      </c>
      <c r="Q65" s="50">
        <v>1000</v>
      </c>
      <c r="R65" s="50">
        <v>1</v>
      </c>
      <c r="S65" s="50">
        <v>1</v>
      </c>
      <c r="T65" s="50">
        <v>1</v>
      </c>
      <c r="U65" s="50">
        <v>1</v>
      </c>
      <c r="V65" s="50">
        <v>1</v>
      </c>
      <c r="W65" s="50">
        <v>1</v>
      </c>
    </row>
    <row r="66" spans="1:23">
      <c r="A66">
        <v>65</v>
      </c>
      <c r="B66" s="42" t="s">
        <v>115</v>
      </c>
      <c r="C66" s="43" t="s">
        <v>112</v>
      </c>
      <c r="D66" s="43" t="s">
        <v>242</v>
      </c>
      <c r="E66" s="43" t="s">
        <v>276</v>
      </c>
      <c r="F66" s="43" t="s">
        <v>35</v>
      </c>
      <c r="G66" s="43" t="s">
        <v>189</v>
      </c>
      <c r="H66" s="43" t="s">
        <v>190</v>
      </c>
      <c r="I66" s="43"/>
      <c r="J66" s="43"/>
      <c r="K66" s="43" t="s">
        <v>103</v>
      </c>
      <c r="L66" s="43" t="s">
        <v>119</v>
      </c>
      <c r="M66" s="43"/>
      <c r="N66" s="43"/>
      <c r="P66" s="50">
        <v>2000</v>
      </c>
      <c r="Q66" s="50">
        <v>1000</v>
      </c>
      <c r="R66" s="50">
        <v>1</v>
      </c>
      <c r="S66" s="50">
        <v>1</v>
      </c>
      <c r="T66" s="50">
        <v>1</v>
      </c>
      <c r="U66" s="50">
        <v>1</v>
      </c>
      <c r="V66" s="50">
        <v>1</v>
      </c>
      <c r="W66" s="50">
        <v>1</v>
      </c>
    </row>
    <row r="67" spans="1:23">
      <c r="A67">
        <v>66</v>
      </c>
      <c r="B67" s="42" t="s">
        <v>115</v>
      </c>
      <c r="C67" s="43" t="s">
        <v>101</v>
      </c>
      <c r="D67" s="43" t="s">
        <v>243</v>
      </c>
      <c r="E67" s="43" t="s">
        <v>275</v>
      </c>
      <c r="F67" s="43" t="s">
        <v>66</v>
      </c>
      <c r="G67" s="43" t="s">
        <v>191</v>
      </c>
      <c r="H67" s="43" t="s">
        <v>189</v>
      </c>
      <c r="I67" s="43" t="s">
        <v>119</v>
      </c>
      <c r="J67" s="43"/>
      <c r="K67" s="43"/>
      <c r="L67" s="43" t="s">
        <v>103</v>
      </c>
      <c r="M67" s="43"/>
      <c r="N67" s="43" t="s">
        <v>150</v>
      </c>
      <c r="P67" s="50">
        <v>2000</v>
      </c>
      <c r="Q67" s="50">
        <v>1000</v>
      </c>
      <c r="R67" s="50">
        <v>1</v>
      </c>
      <c r="S67" s="50">
        <v>1</v>
      </c>
      <c r="T67" s="50">
        <v>1</v>
      </c>
      <c r="U67" s="50">
        <v>1</v>
      </c>
      <c r="V67" s="50">
        <v>1</v>
      </c>
      <c r="W67" s="50">
        <v>1</v>
      </c>
    </row>
    <row r="68" spans="1:23">
      <c r="A68">
        <v>67</v>
      </c>
      <c r="B68" s="42" t="s">
        <v>119</v>
      </c>
      <c r="C68" s="43" t="s">
        <v>113</v>
      </c>
      <c r="D68" s="43" t="s">
        <v>241</v>
      </c>
      <c r="E68" s="43" t="s">
        <v>276</v>
      </c>
      <c r="F68" s="43" t="s">
        <v>7</v>
      </c>
      <c r="G68" s="43" t="s">
        <v>192</v>
      </c>
      <c r="H68" s="43" t="s">
        <v>190</v>
      </c>
      <c r="I68" s="43"/>
      <c r="J68" s="43"/>
      <c r="K68" s="43" t="s">
        <v>105</v>
      </c>
      <c r="L68" s="43"/>
      <c r="M68" s="43"/>
      <c r="N68" s="43"/>
      <c r="P68" s="50">
        <v>2000</v>
      </c>
      <c r="Q68" s="50">
        <v>1000</v>
      </c>
      <c r="R68" s="50">
        <v>1</v>
      </c>
      <c r="S68" s="50">
        <v>1</v>
      </c>
      <c r="T68" s="50">
        <v>1</v>
      </c>
      <c r="U68" s="50">
        <v>1</v>
      </c>
      <c r="V68" s="50">
        <v>1</v>
      </c>
      <c r="W68" s="50">
        <v>1</v>
      </c>
    </row>
    <row r="69" spans="1:23">
      <c r="A69">
        <v>68</v>
      </c>
      <c r="B69" s="42" t="s">
        <v>119</v>
      </c>
      <c r="C69" s="43" t="s">
        <v>185</v>
      </c>
      <c r="D69" s="43" t="s">
        <v>241</v>
      </c>
      <c r="E69" s="43" t="s">
        <v>275</v>
      </c>
      <c r="F69" s="43" t="s">
        <v>35</v>
      </c>
      <c r="G69" s="43" t="s">
        <v>190</v>
      </c>
      <c r="H69" s="43" t="s">
        <v>189</v>
      </c>
      <c r="I69" s="43"/>
      <c r="J69" s="43"/>
      <c r="K69" s="43"/>
      <c r="L69" s="43"/>
      <c r="M69" s="43"/>
      <c r="N69" s="43" t="s">
        <v>143</v>
      </c>
      <c r="P69" s="50">
        <v>2000</v>
      </c>
      <c r="Q69" s="50">
        <v>1000</v>
      </c>
      <c r="R69" s="50">
        <v>1</v>
      </c>
      <c r="S69" s="50">
        <v>1</v>
      </c>
      <c r="T69" s="50">
        <v>1</v>
      </c>
      <c r="U69" s="50">
        <v>1</v>
      </c>
      <c r="V69" s="50">
        <v>1</v>
      </c>
      <c r="W69" s="50">
        <v>1</v>
      </c>
    </row>
    <row r="70" spans="1:23">
      <c r="A70">
        <v>69</v>
      </c>
      <c r="B70" s="42" t="s">
        <v>119</v>
      </c>
      <c r="C70" s="43" t="s">
        <v>120</v>
      </c>
      <c r="D70" s="43" t="s">
        <v>242</v>
      </c>
      <c r="E70" s="43" t="s">
        <v>276</v>
      </c>
      <c r="F70" s="43" t="s">
        <v>66</v>
      </c>
      <c r="G70" s="43" t="s">
        <v>191</v>
      </c>
      <c r="H70" s="43" t="s">
        <v>191</v>
      </c>
      <c r="I70" s="43"/>
      <c r="J70" s="43"/>
      <c r="K70" s="43" t="s">
        <v>104</v>
      </c>
      <c r="L70" s="43" t="s">
        <v>143</v>
      </c>
      <c r="M70" s="43"/>
      <c r="N70" s="43"/>
      <c r="P70" s="50">
        <v>2000</v>
      </c>
      <c r="Q70" s="50">
        <v>1000</v>
      </c>
      <c r="R70" s="50">
        <v>1</v>
      </c>
      <c r="S70" s="50">
        <v>1</v>
      </c>
      <c r="T70" s="50">
        <v>1</v>
      </c>
      <c r="U70" s="50">
        <v>1</v>
      </c>
      <c r="V70" s="50">
        <v>1</v>
      </c>
      <c r="W70" s="50">
        <v>1</v>
      </c>
    </row>
    <row r="71" spans="1:23">
      <c r="A71">
        <v>70</v>
      </c>
      <c r="B71" s="42" t="s">
        <v>119</v>
      </c>
      <c r="C71" s="43" t="s">
        <v>112</v>
      </c>
      <c r="D71" s="43" t="s">
        <v>242</v>
      </c>
      <c r="E71" s="43" t="s">
        <v>275</v>
      </c>
      <c r="F71" s="43" t="s">
        <v>35</v>
      </c>
      <c r="G71" s="43" t="s">
        <v>189</v>
      </c>
      <c r="H71" s="43" t="s">
        <v>192</v>
      </c>
      <c r="I71" s="43" t="s">
        <v>108</v>
      </c>
      <c r="J71" s="43"/>
      <c r="K71" s="43"/>
      <c r="L71" s="43"/>
      <c r="M71" s="43"/>
      <c r="N71" s="43" t="s">
        <v>105</v>
      </c>
      <c r="P71" s="50">
        <v>2000</v>
      </c>
      <c r="Q71" s="50">
        <v>1000</v>
      </c>
      <c r="R71" s="50">
        <v>1</v>
      </c>
      <c r="S71" s="50">
        <v>1</v>
      </c>
      <c r="T71" s="50">
        <v>1</v>
      </c>
      <c r="U71" s="50">
        <v>1</v>
      </c>
      <c r="V71" s="50">
        <v>1</v>
      </c>
      <c r="W71" s="50">
        <v>1</v>
      </c>
    </row>
    <row r="72" spans="1:23">
      <c r="A72">
        <v>71</v>
      </c>
      <c r="B72" s="42" t="s">
        <v>119</v>
      </c>
      <c r="C72" s="43" t="s">
        <v>101</v>
      </c>
      <c r="D72" s="43" t="s">
        <v>243</v>
      </c>
      <c r="E72" s="43" t="s">
        <v>35</v>
      </c>
      <c r="F72" s="43" t="s">
        <v>7</v>
      </c>
      <c r="G72" s="43" t="s">
        <v>190</v>
      </c>
      <c r="H72" s="43" t="s">
        <v>192</v>
      </c>
      <c r="I72" s="43"/>
      <c r="J72" s="43"/>
      <c r="K72" s="43" t="s">
        <v>105</v>
      </c>
      <c r="L72" s="43" t="s">
        <v>118</v>
      </c>
      <c r="M72" s="43" t="s">
        <v>41</v>
      </c>
      <c r="N72" s="43"/>
      <c r="P72" s="50">
        <v>2000</v>
      </c>
      <c r="Q72" s="50">
        <v>1000</v>
      </c>
      <c r="R72" s="50">
        <v>1</v>
      </c>
      <c r="S72" s="50">
        <v>1</v>
      </c>
      <c r="T72" s="50">
        <v>1</v>
      </c>
      <c r="U72" s="50">
        <v>1</v>
      </c>
      <c r="V72" s="50">
        <v>1</v>
      </c>
      <c r="W72" s="50">
        <v>1</v>
      </c>
    </row>
    <row r="73" spans="1:23">
      <c r="A73">
        <v>72</v>
      </c>
      <c r="B73" s="42" t="s">
        <v>119</v>
      </c>
      <c r="C73" s="43" t="s">
        <v>164</v>
      </c>
      <c r="D73" s="43" t="s">
        <v>242</v>
      </c>
      <c r="E73" s="43" t="s">
        <v>35</v>
      </c>
      <c r="F73" s="43" t="s">
        <v>7</v>
      </c>
      <c r="G73" s="43" t="s">
        <v>190</v>
      </c>
      <c r="H73" s="43" t="s">
        <v>191</v>
      </c>
      <c r="I73" s="43" t="s">
        <v>108</v>
      </c>
      <c r="J73" s="43"/>
      <c r="K73" s="43"/>
      <c r="L73" s="43"/>
      <c r="M73" s="43"/>
      <c r="N73" s="43" t="s">
        <v>109</v>
      </c>
      <c r="P73" s="50">
        <v>2000</v>
      </c>
      <c r="Q73" s="50">
        <v>1000</v>
      </c>
      <c r="R73" s="50">
        <v>1</v>
      </c>
      <c r="S73" s="50">
        <v>1</v>
      </c>
      <c r="T73" s="50">
        <v>1</v>
      </c>
      <c r="U73" s="50">
        <v>1</v>
      </c>
      <c r="V73" s="50">
        <v>1</v>
      </c>
      <c r="W73" s="50">
        <v>1</v>
      </c>
    </row>
    <row r="74" spans="1:23">
      <c r="A74">
        <v>73</v>
      </c>
      <c r="B74" s="42" t="s">
        <v>105</v>
      </c>
      <c r="C74" s="43" t="s">
        <v>113</v>
      </c>
      <c r="D74" s="43" t="s">
        <v>241</v>
      </c>
      <c r="E74" s="43" t="s">
        <v>35</v>
      </c>
      <c r="F74" s="43" t="s">
        <v>7</v>
      </c>
      <c r="G74" s="43" t="s">
        <v>190</v>
      </c>
      <c r="H74" s="43" t="s">
        <v>191</v>
      </c>
      <c r="I74" s="43"/>
      <c r="J74" s="43"/>
      <c r="K74" s="43"/>
      <c r="L74" s="43"/>
      <c r="M74" s="43"/>
      <c r="N74" s="43" t="s">
        <v>119</v>
      </c>
      <c r="P74" s="50">
        <v>2000</v>
      </c>
      <c r="Q74" s="50">
        <v>1000</v>
      </c>
      <c r="R74" s="50">
        <v>1</v>
      </c>
      <c r="S74" s="50">
        <v>1</v>
      </c>
      <c r="T74" s="50">
        <v>1</v>
      </c>
      <c r="U74" s="50">
        <v>1</v>
      </c>
      <c r="V74" s="50">
        <v>1</v>
      </c>
      <c r="W74" s="50">
        <v>1</v>
      </c>
    </row>
    <row r="75" spans="1:23">
      <c r="A75">
        <v>74</v>
      </c>
      <c r="B75" s="42" t="s">
        <v>105</v>
      </c>
      <c r="C75" s="43" t="s">
        <v>185</v>
      </c>
      <c r="D75" s="43" t="s">
        <v>241</v>
      </c>
      <c r="E75" s="43" t="s">
        <v>276</v>
      </c>
      <c r="F75" s="43" t="s">
        <v>7</v>
      </c>
      <c r="G75" s="43" t="s">
        <v>191</v>
      </c>
      <c r="H75" s="43" t="s">
        <v>190</v>
      </c>
      <c r="I75" s="43"/>
      <c r="J75" s="43"/>
      <c r="K75" s="43" t="s">
        <v>115</v>
      </c>
      <c r="L75" s="43"/>
      <c r="M75" s="43"/>
      <c r="N75" s="43"/>
      <c r="P75" s="50">
        <v>2000</v>
      </c>
      <c r="Q75" s="50">
        <v>1000</v>
      </c>
      <c r="R75" s="50">
        <v>1</v>
      </c>
      <c r="S75" s="50">
        <v>1</v>
      </c>
      <c r="T75" s="50">
        <v>1</v>
      </c>
      <c r="U75" s="50">
        <v>1</v>
      </c>
      <c r="V75" s="50">
        <v>1</v>
      </c>
      <c r="W75" s="50">
        <v>1</v>
      </c>
    </row>
    <row r="76" spans="1:23">
      <c r="A76">
        <v>75</v>
      </c>
      <c r="B76" s="42" t="s">
        <v>105</v>
      </c>
      <c r="C76" s="43" t="s">
        <v>120</v>
      </c>
      <c r="D76" s="43" t="s">
        <v>242</v>
      </c>
      <c r="E76" s="43" t="s">
        <v>276</v>
      </c>
      <c r="F76" s="43" t="s">
        <v>66</v>
      </c>
      <c r="G76" s="43" t="s">
        <v>191</v>
      </c>
      <c r="H76" s="43" t="s">
        <v>189</v>
      </c>
      <c r="I76" s="43"/>
      <c r="J76" s="43"/>
      <c r="K76" s="43" t="s">
        <v>119</v>
      </c>
      <c r="L76" s="43" t="s">
        <v>103</v>
      </c>
      <c r="M76" s="43"/>
      <c r="N76" s="43"/>
      <c r="P76" s="50">
        <v>2000</v>
      </c>
      <c r="Q76" s="50">
        <v>1000</v>
      </c>
      <c r="R76" s="50">
        <v>1</v>
      </c>
      <c r="S76" s="50">
        <v>1</v>
      </c>
      <c r="T76" s="50">
        <v>1</v>
      </c>
      <c r="U76" s="50">
        <v>1</v>
      </c>
      <c r="V76" s="50">
        <v>1</v>
      </c>
      <c r="W76" s="50">
        <v>1</v>
      </c>
    </row>
    <row r="77" spans="1:23">
      <c r="A77">
        <v>76</v>
      </c>
      <c r="B77" s="42" t="s">
        <v>105</v>
      </c>
      <c r="C77" s="43" t="s">
        <v>112</v>
      </c>
      <c r="D77" s="43" t="s">
        <v>242</v>
      </c>
      <c r="E77" s="43" t="s">
        <v>275</v>
      </c>
      <c r="F77" s="43" t="s">
        <v>35</v>
      </c>
      <c r="G77" s="43" t="s">
        <v>189</v>
      </c>
      <c r="H77" s="43" t="s">
        <v>190</v>
      </c>
      <c r="I77" s="43" t="s">
        <v>119</v>
      </c>
      <c r="J77" s="43"/>
      <c r="K77" s="43"/>
      <c r="L77" s="43"/>
      <c r="M77" s="43"/>
      <c r="N77" s="43" t="s">
        <v>100</v>
      </c>
      <c r="P77" s="50">
        <v>2000</v>
      </c>
      <c r="Q77" s="50">
        <v>1000</v>
      </c>
      <c r="R77" s="50">
        <v>1</v>
      </c>
      <c r="S77" s="50">
        <v>1</v>
      </c>
      <c r="T77" s="50">
        <v>1</v>
      </c>
      <c r="U77" s="50">
        <v>1</v>
      </c>
      <c r="V77" s="50">
        <v>1</v>
      </c>
      <c r="W77" s="50">
        <v>1</v>
      </c>
    </row>
    <row r="78" spans="1:23">
      <c r="A78">
        <v>77</v>
      </c>
      <c r="B78" s="42" t="s">
        <v>105</v>
      </c>
      <c r="C78" s="43" t="s">
        <v>101</v>
      </c>
      <c r="D78" s="43" t="s">
        <v>243</v>
      </c>
      <c r="E78" s="43" t="s">
        <v>275</v>
      </c>
      <c r="F78" s="43" t="s">
        <v>66</v>
      </c>
      <c r="G78" s="43" t="s">
        <v>192</v>
      </c>
      <c r="H78" s="43" t="s">
        <v>191</v>
      </c>
      <c r="I78" s="43" t="s">
        <v>181</v>
      </c>
      <c r="J78" s="43"/>
      <c r="K78" s="43"/>
      <c r="L78" s="43" t="s">
        <v>98</v>
      </c>
      <c r="M78" s="43"/>
      <c r="N78" s="43" t="s">
        <v>119</v>
      </c>
      <c r="P78" s="50">
        <v>2000</v>
      </c>
      <c r="Q78" s="50">
        <v>1000</v>
      </c>
      <c r="R78" s="50">
        <v>1</v>
      </c>
      <c r="S78" s="50">
        <v>1</v>
      </c>
      <c r="T78" s="50">
        <v>1</v>
      </c>
      <c r="U78" s="50">
        <v>1</v>
      </c>
      <c r="V78" s="50">
        <v>1</v>
      </c>
      <c r="W78" s="50">
        <v>1</v>
      </c>
    </row>
    <row r="79" spans="1:23">
      <c r="A79">
        <v>78</v>
      </c>
      <c r="B79" s="42" t="s">
        <v>105</v>
      </c>
      <c r="C79" s="43" t="s">
        <v>244</v>
      </c>
      <c r="D79" s="43" t="s">
        <v>243</v>
      </c>
      <c r="E79" s="43" t="s">
        <v>35</v>
      </c>
      <c r="F79" s="43" t="s">
        <v>35</v>
      </c>
      <c r="G79" s="43" t="s">
        <v>189</v>
      </c>
      <c r="H79" s="43" t="s">
        <v>190</v>
      </c>
      <c r="I79" s="43" t="s">
        <v>119</v>
      </c>
      <c r="J79" s="43"/>
      <c r="K79" s="43"/>
      <c r="L79" s="43" t="s">
        <v>107</v>
      </c>
      <c r="M79" s="43"/>
      <c r="N79" s="43" t="s">
        <v>100</v>
      </c>
      <c r="P79" s="50">
        <v>2000</v>
      </c>
      <c r="Q79" s="50">
        <v>1000</v>
      </c>
      <c r="R79" s="50">
        <v>1</v>
      </c>
      <c r="S79" s="50">
        <v>1</v>
      </c>
      <c r="T79" s="50">
        <v>1</v>
      </c>
      <c r="U79" s="50">
        <v>1</v>
      </c>
      <c r="V79" s="50">
        <v>1</v>
      </c>
      <c r="W79" s="50">
        <v>1</v>
      </c>
    </row>
    <row r="80" spans="1:23">
      <c r="A80">
        <v>79</v>
      </c>
      <c r="B80" s="42" t="s">
        <v>105</v>
      </c>
      <c r="C80" s="43" t="s">
        <v>164</v>
      </c>
      <c r="D80" s="43" t="s">
        <v>242</v>
      </c>
      <c r="E80" s="43" t="s">
        <v>275</v>
      </c>
      <c r="F80" s="43" t="s">
        <v>66</v>
      </c>
      <c r="G80" s="43" t="s">
        <v>189</v>
      </c>
      <c r="H80" s="43" t="s">
        <v>191</v>
      </c>
      <c r="I80" s="43" t="s">
        <v>104</v>
      </c>
      <c r="J80" s="43"/>
      <c r="K80" s="43"/>
      <c r="L80" s="43"/>
      <c r="M80" s="43"/>
      <c r="N80" s="43" t="s">
        <v>106</v>
      </c>
      <c r="P80" s="50">
        <v>2000</v>
      </c>
      <c r="Q80" s="50">
        <v>1000</v>
      </c>
      <c r="R80" s="50">
        <v>1</v>
      </c>
      <c r="S80" s="50">
        <v>1</v>
      </c>
      <c r="T80" s="50">
        <v>1</v>
      </c>
      <c r="U80" s="50">
        <v>1</v>
      </c>
      <c r="V80" s="50">
        <v>1</v>
      </c>
      <c r="W80" s="50">
        <v>1</v>
      </c>
    </row>
    <row r="81" spans="1:23">
      <c r="A81">
        <v>80</v>
      </c>
      <c r="B81" s="42" t="s">
        <v>108</v>
      </c>
      <c r="C81" s="43" t="s">
        <v>113</v>
      </c>
      <c r="D81" s="43" t="s">
        <v>241</v>
      </c>
      <c r="E81" s="43" t="s">
        <v>35</v>
      </c>
      <c r="F81" s="43" t="s">
        <v>7</v>
      </c>
      <c r="G81" s="43" t="s">
        <v>190</v>
      </c>
      <c r="H81" s="43" t="s">
        <v>191</v>
      </c>
      <c r="I81" s="43"/>
      <c r="J81" s="43"/>
      <c r="K81" s="43" t="s">
        <v>176</v>
      </c>
      <c r="L81" s="43"/>
      <c r="M81" s="43"/>
      <c r="N81" s="43"/>
      <c r="P81" s="50">
        <v>2000</v>
      </c>
      <c r="Q81" s="50">
        <v>1000</v>
      </c>
      <c r="R81" s="50">
        <v>1</v>
      </c>
      <c r="S81" s="50">
        <v>1</v>
      </c>
      <c r="T81" s="50">
        <v>1</v>
      </c>
      <c r="U81" s="50">
        <v>1</v>
      </c>
      <c r="V81" s="50">
        <v>1</v>
      </c>
      <c r="W81" s="50">
        <v>1</v>
      </c>
    </row>
    <row r="82" spans="1:23">
      <c r="A82">
        <v>81</v>
      </c>
      <c r="B82" s="42" t="s">
        <v>108</v>
      </c>
      <c r="C82" s="43" t="s">
        <v>185</v>
      </c>
      <c r="D82" s="43" t="s">
        <v>241</v>
      </c>
      <c r="E82" s="43" t="s">
        <v>275</v>
      </c>
      <c r="F82" s="43" t="s">
        <v>35</v>
      </c>
      <c r="G82" s="43" t="s">
        <v>189</v>
      </c>
      <c r="H82" s="43" t="s">
        <v>190</v>
      </c>
      <c r="I82" s="43"/>
      <c r="J82" s="43"/>
      <c r="K82" s="43"/>
      <c r="L82" s="43"/>
      <c r="M82" s="43"/>
      <c r="N82" s="43" t="s">
        <v>177</v>
      </c>
      <c r="P82" s="50">
        <v>2000</v>
      </c>
      <c r="Q82" s="50">
        <v>1000</v>
      </c>
      <c r="R82" s="50">
        <v>1</v>
      </c>
      <c r="S82" s="50">
        <v>1</v>
      </c>
      <c r="T82" s="50">
        <v>1</v>
      </c>
      <c r="U82" s="50">
        <v>1</v>
      </c>
      <c r="V82" s="50">
        <v>1</v>
      </c>
      <c r="W82" s="50">
        <v>1</v>
      </c>
    </row>
    <row r="83" spans="1:23">
      <c r="A83">
        <v>82</v>
      </c>
      <c r="B83" s="42" t="s">
        <v>108</v>
      </c>
      <c r="C83" s="43" t="s">
        <v>120</v>
      </c>
      <c r="D83" s="43" t="s">
        <v>242</v>
      </c>
      <c r="E83" s="43" t="s">
        <v>276</v>
      </c>
      <c r="F83" s="43" t="s">
        <v>66</v>
      </c>
      <c r="G83" s="43" t="s">
        <v>189</v>
      </c>
      <c r="H83" s="43" t="s">
        <v>191</v>
      </c>
      <c r="I83" s="43"/>
      <c r="J83" s="43"/>
      <c r="K83" s="43" t="s">
        <v>114</v>
      </c>
      <c r="L83" s="43" t="s">
        <v>103</v>
      </c>
      <c r="M83" s="43"/>
      <c r="N83" s="43"/>
      <c r="P83" s="50">
        <v>2000</v>
      </c>
      <c r="Q83" s="50">
        <v>1000</v>
      </c>
      <c r="R83" s="50">
        <v>1</v>
      </c>
      <c r="S83" s="50">
        <v>1</v>
      </c>
      <c r="T83" s="50">
        <v>1</v>
      </c>
      <c r="U83" s="50">
        <v>1</v>
      </c>
      <c r="V83" s="50">
        <v>1</v>
      </c>
      <c r="W83" s="50">
        <v>1</v>
      </c>
    </row>
    <row r="84" spans="1:23">
      <c r="A84">
        <v>83</v>
      </c>
      <c r="B84" s="42" t="s">
        <v>108</v>
      </c>
      <c r="C84" s="43" t="s">
        <v>112</v>
      </c>
      <c r="D84" s="43" t="s">
        <v>242</v>
      </c>
      <c r="E84" s="43" t="s">
        <v>275</v>
      </c>
      <c r="F84" s="43" t="s">
        <v>7</v>
      </c>
      <c r="G84" s="43" t="s">
        <v>191</v>
      </c>
      <c r="H84" s="43" t="s">
        <v>190</v>
      </c>
      <c r="I84" s="43" t="s">
        <v>143</v>
      </c>
      <c r="J84" s="43"/>
      <c r="K84" s="43"/>
      <c r="L84" s="43"/>
      <c r="M84" s="43"/>
      <c r="N84" s="43" t="s">
        <v>177</v>
      </c>
      <c r="P84" s="50">
        <v>2000</v>
      </c>
      <c r="Q84" s="50">
        <v>1000</v>
      </c>
      <c r="R84" s="50">
        <v>1</v>
      </c>
      <c r="S84" s="50">
        <v>1</v>
      </c>
      <c r="T84" s="50">
        <v>1</v>
      </c>
      <c r="U84" s="50">
        <v>1</v>
      </c>
      <c r="V84" s="50">
        <v>1</v>
      </c>
      <c r="W84" s="50">
        <v>1</v>
      </c>
    </row>
    <row r="85" spans="1:23">
      <c r="A85">
        <v>84</v>
      </c>
      <c r="B85" s="42" t="s">
        <v>177</v>
      </c>
      <c r="C85" s="43" t="s">
        <v>113</v>
      </c>
      <c r="D85" s="43" t="s">
        <v>241</v>
      </c>
      <c r="E85" s="43" t="s">
        <v>275</v>
      </c>
      <c r="F85" s="43" t="s">
        <v>35</v>
      </c>
      <c r="G85" s="43" t="s">
        <v>190</v>
      </c>
      <c r="H85" s="43" t="s">
        <v>189</v>
      </c>
      <c r="I85" s="43"/>
      <c r="J85" s="43"/>
      <c r="K85" s="43"/>
      <c r="L85" s="43"/>
      <c r="M85" s="43"/>
      <c r="N85" s="43" t="s">
        <v>108</v>
      </c>
      <c r="P85" s="50">
        <v>2000</v>
      </c>
      <c r="Q85" s="50">
        <v>1000</v>
      </c>
      <c r="R85" s="50">
        <v>1</v>
      </c>
      <c r="S85" s="50">
        <v>1</v>
      </c>
      <c r="T85" s="50">
        <v>1</v>
      </c>
      <c r="U85" s="50">
        <v>1</v>
      </c>
      <c r="V85" s="50">
        <v>1</v>
      </c>
      <c r="W85" s="50">
        <v>1</v>
      </c>
    </row>
    <row r="86" spans="1:23">
      <c r="A86">
        <v>85</v>
      </c>
      <c r="B86" s="42" t="s">
        <v>177</v>
      </c>
      <c r="C86" s="43" t="s">
        <v>185</v>
      </c>
      <c r="D86" s="43" t="s">
        <v>241</v>
      </c>
      <c r="E86" s="43" t="s">
        <v>276</v>
      </c>
      <c r="F86" s="43" t="s">
        <v>66</v>
      </c>
      <c r="G86" s="43" t="s">
        <v>192</v>
      </c>
      <c r="H86" s="43" t="s">
        <v>191</v>
      </c>
      <c r="I86" s="43"/>
      <c r="J86" s="43"/>
      <c r="K86" s="43" t="s">
        <v>176</v>
      </c>
      <c r="L86" s="43"/>
      <c r="M86" s="43"/>
      <c r="N86" s="43"/>
      <c r="P86" s="50">
        <v>2000</v>
      </c>
      <c r="Q86" s="50">
        <v>1000</v>
      </c>
      <c r="R86" s="50">
        <v>1</v>
      </c>
      <c r="S86" s="50">
        <v>1</v>
      </c>
      <c r="T86" s="50">
        <v>1</v>
      </c>
      <c r="U86" s="50">
        <v>1</v>
      </c>
      <c r="V86" s="50">
        <v>1</v>
      </c>
      <c r="W86" s="50">
        <v>1</v>
      </c>
    </row>
    <row r="87" spans="1:23">
      <c r="A87">
        <v>86</v>
      </c>
      <c r="B87" s="42" t="s">
        <v>177</v>
      </c>
      <c r="C87" s="43" t="s">
        <v>120</v>
      </c>
      <c r="D87" s="43" t="s">
        <v>242</v>
      </c>
      <c r="E87" s="43" t="s">
        <v>275</v>
      </c>
      <c r="F87" s="43" t="s">
        <v>35</v>
      </c>
      <c r="G87" s="43" t="s">
        <v>189</v>
      </c>
      <c r="H87" s="43" t="s">
        <v>189</v>
      </c>
      <c r="I87" s="43" t="s">
        <v>105</v>
      </c>
      <c r="J87" s="43"/>
      <c r="K87" s="43"/>
      <c r="L87" s="43"/>
      <c r="M87" s="43"/>
      <c r="N87" s="43" t="s">
        <v>109</v>
      </c>
      <c r="P87" s="50">
        <v>2000</v>
      </c>
      <c r="Q87" s="50">
        <v>1000</v>
      </c>
      <c r="R87" s="50">
        <v>1</v>
      </c>
      <c r="S87" s="50">
        <v>1</v>
      </c>
      <c r="T87" s="50">
        <v>1</v>
      </c>
      <c r="U87" s="50">
        <v>1</v>
      </c>
      <c r="V87" s="50">
        <v>1</v>
      </c>
      <c r="W87" s="50">
        <v>1</v>
      </c>
    </row>
    <row r="88" spans="1:23">
      <c r="A88">
        <v>87</v>
      </c>
      <c r="B88" s="42" t="s">
        <v>177</v>
      </c>
      <c r="C88" s="43" t="s">
        <v>112</v>
      </c>
      <c r="D88" s="43" t="s">
        <v>242</v>
      </c>
      <c r="E88" s="43" t="s">
        <v>276</v>
      </c>
      <c r="F88" s="43" t="s">
        <v>7</v>
      </c>
      <c r="G88" s="43" t="s">
        <v>191</v>
      </c>
      <c r="H88" s="43" t="s">
        <v>190</v>
      </c>
      <c r="I88" s="43"/>
      <c r="J88" s="43"/>
      <c r="K88" s="43" t="s">
        <v>108</v>
      </c>
      <c r="L88" s="43" t="s">
        <v>115</v>
      </c>
      <c r="M88" s="43"/>
      <c r="N88" s="43"/>
      <c r="P88" s="50">
        <v>2000</v>
      </c>
      <c r="Q88" s="50">
        <v>1000</v>
      </c>
      <c r="R88" s="50">
        <v>1</v>
      </c>
      <c r="S88" s="50">
        <v>1</v>
      </c>
      <c r="T88" s="50">
        <v>1</v>
      </c>
      <c r="U88" s="50">
        <v>1</v>
      </c>
      <c r="V88" s="50">
        <v>1</v>
      </c>
      <c r="W88" s="50">
        <v>1</v>
      </c>
    </row>
    <row r="89" spans="1:23">
      <c r="A89">
        <v>88</v>
      </c>
      <c r="B89" s="42" t="s">
        <v>177</v>
      </c>
      <c r="C89" s="43" t="s">
        <v>68</v>
      </c>
      <c r="D89" s="43" t="s">
        <v>241</v>
      </c>
      <c r="E89" s="43" t="s">
        <v>275</v>
      </c>
      <c r="F89" s="43" t="s">
        <v>66</v>
      </c>
      <c r="G89" s="43" t="s">
        <v>191</v>
      </c>
      <c r="H89" s="43" t="s">
        <v>191</v>
      </c>
      <c r="I89" s="43"/>
      <c r="J89" s="43"/>
      <c r="K89" s="43"/>
      <c r="L89" s="43"/>
      <c r="M89" s="43"/>
      <c r="N89" s="43" t="s">
        <v>111</v>
      </c>
      <c r="P89" s="50">
        <v>2000</v>
      </c>
      <c r="Q89" s="50">
        <v>1000</v>
      </c>
      <c r="R89" s="50">
        <v>1</v>
      </c>
      <c r="S89" s="50">
        <v>1</v>
      </c>
      <c r="T89" s="50">
        <v>1</v>
      </c>
      <c r="U89" s="50">
        <v>1</v>
      </c>
      <c r="V89" s="50">
        <v>1</v>
      </c>
      <c r="W89" s="50">
        <v>1</v>
      </c>
    </row>
    <row r="90" spans="1:23">
      <c r="A90">
        <v>89</v>
      </c>
      <c r="B90" s="42" t="s">
        <v>176</v>
      </c>
      <c r="C90" s="43" t="s">
        <v>113</v>
      </c>
      <c r="D90" s="43" t="s">
        <v>241</v>
      </c>
      <c r="E90" s="43" t="s">
        <v>276</v>
      </c>
      <c r="F90" s="43" t="s">
        <v>7</v>
      </c>
      <c r="G90" s="43" t="s">
        <v>191</v>
      </c>
      <c r="H90" s="43" t="s">
        <v>190</v>
      </c>
      <c r="I90" s="43"/>
      <c r="J90" s="43"/>
      <c r="K90" s="43" t="s">
        <v>177</v>
      </c>
      <c r="L90" s="43"/>
      <c r="M90" s="43"/>
      <c r="N90" s="43"/>
      <c r="P90" s="50">
        <v>2000</v>
      </c>
      <c r="Q90" s="50">
        <v>1000</v>
      </c>
      <c r="R90" s="50">
        <v>1</v>
      </c>
      <c r="S90" s="50">
        <v>1</v>
      </c>
      <c r="T90" s="50">
        <v>1</v>
      </c>
      <c r="U90" s="50">
        <v>1</v>
      </c>
      <c r="V90" s="50">
        <v>1</v>
      </c>
      <c r="W90" s="50">
        <v>1</v>
      </c>
    </row>
    <row r="91" spans="1:23">
      <c r="A91">
        <v>90</v>
      </c>
      <c r="B91" s="42" t="s">
        <v>176</v>
      </c>
      <c r="C91" s="43" t="s">
        <v>185</v>
      </c>
      <c r="D91" s="43" t="s">
        <v>241</v>
      </c>
      <c r="E91" s="43" t="s">
        <v>35</v>
      </c>
      <c r="F91" s="43" t="s">
        <v>35</v>
      </c>
      <c r="G91" s="43" t="s">
        <v>189</v>
      </c>
      <c r="H91" s="43" t="s">
        <v>189</v>
      </c>
      <c r="I91" s="43"/>
      <c r="J91" s="43"/>
      <c r="K91" s="43"/>
      <c r="L91" s="43"/>
      <c r="M91" s="43"/>
      <c r="N91" s="43" t="s">
        <v>104</v>
      </c>
      <c r="P91" s="50">
        <v>2000</v>
      </c>
      <c r="Q91" s="50">
        <v>1000</v>
      </c>
      <c r="R91" s="50">
        <v>1</v>
      </c>
      <c r="S91" s="50">
        <v>1</v>
      </c>
      <c r="T91" s="50">
        <v>1</v>
      </c>
      <c r="U91" s="50">
        <v>1</v>
      </c>
      <c r="V91" s="50">
        <v>1</v>
      </c>
      <c r="W91" s="50">
        <v>1</v>
      </c>
    </row>
    <row r="92" spans="1:23">
      <c r="A92">
        <v>91</v>
      </c>
      <c r="B92" s="42" t="s">
        <v>176</v>
      </c>
      <c r="C92" s="43" t="s">
        <v>120</v>
      </c>
      <c r="D92" s="43" t="s">
        <v>242</v>
      </c>
      <c r="E92" s="43" t="s">
        <v>276</v>
      </c>
      <c r="F92" s="43" t="s">
        <v>7</v>
      </c>
      <c r="G92" s="43" t="s">
        <v>190</v>
      </c>
      <c r="H92" s="43" t="s">
        <v>192</v>
      </c>
      <c r="I92" s="43"/>
      <c r="J92" s="43"/>
      <c r="K92" s="43" t="s">
        <v>111</v>
      </c>
      <c r="L92" s="43" t="s">
        <v>177</v>
      </c>
      <c r="M92" s="43"/>
      <c r="N92" s="43"/>
      <c r="P92" s="50">
        <v>2000</v>
      </c>
      <c r="Q92" s="50">
        <v>1000</v>
      </c>
      <c r="R92" s="50">
        <v>1</v>
      </c>
      <c r="S92" s="50">
        <v>1</v>
      </c>
      <c r="T92" s="50">
        <v>1</v>
      </c>
      <c r="U92" s="50">
        <v>1</v>
      </c>
      <c r="V92" s="50">
        <v>1</v>
      </c>
      <c r="W92" s="50">
        <v>1</v>
      </c>
    </row>
    <row r="93" spans="1:23">
      <c r="A93">
        <v>92</v>
      </c>
      <c r="B93" s="42" t="s">
        <v>176</v>
      </c>
      <c r="C93" s="43" t="s">
        <v>112</v>
      </c>
      <c r="D93" s="43" t="s">
        <v>242</v>
      </c>
      <c r="E93" s="43" t="s">
        <v>275</v>
      </c>
      <c r="F93" s="43" t="s">
        <v>66</v>
      </c>
      <c r="G93" s="43" t="s">
        <v>189</v>
      </c>
      <c r="H93" s="43" t="s">
        <v>191</v>
      </c>
      <c r="I93" s="43" t="s">
        <v>98</v>
      </c>
      <c r="J93" s="43"/>
      <c r="K93" s="43"/>
      <c r="L93" s="43"/>
      <c r="M93" s="43"/>
      <c r="N93" s="43" t="s">
        <v>108</v>
      </c>
      <c r="P93" s="50">
        <v>2000</v>
      </c>
      <c r="Q93" s="50">
        <v>1000</v>
      </c>
      <c r="R93" s="50">
        <v>1</v>
      </c>
      <c r="S93" s="50">
        <v>1</v>
      </c>
      <c r="T93" s="50">
        <v>1</v>
      </c>
      <c r="U93" s="50">
        <v>1</v>
      </c>
      <c r="V93" s="50">
        <v>1</v>
      </c>
      <c r="W93" s="50">
        <v>1</v>
      </c>
    </row>
    <row r="94" spans="1:23">
      <c r="A94">
        <v>93</v>
      </c>
      <c r="B94" s="42" t="s">
        <v>176</v>
      </c>
      <c r="C94" s="43" t="s">
        <v>68</v>
      </c>
      <c r="D94" s="43" t="s">
        <v>242</v>
      </c>
      <c r="E94" s="43" t="s">
        <v>276</v>
      </c>
      <c r="F94" s="43" t="s">
        <v>35</v>
      </c>
      <c r="G94" s="43" t="s">
        <v>190</v>
      </c>
      <c r="H94" s="43" t="s">
        <v>189</v>
      </c>
      <c r="I94" s="43"/>
      <c r="J94" s="43"/>
      <c r="K94" s="43" t="s">
        <v>100</v>
      </c>
      <c r="L94" s="43" t="s">
        <v>110</v>
      </c>
      <c r="M94" s="43"/>
      <c r="N94" s="43"/>
      <c r="P94" s="50">
        <v>2000</v>
      </c>
      <c r="Q94" s="50">
        <v>1000</v>
      </c>
      <c r="R94" s="50">
        <v>1</v>
      </c>
      <c r="S94" s="50">
        <v>1</v>
      </c>
      <c r="T94" s="50">
        <v>1</v>
      </c>
      <c r="U94" s="50">
        <v>1</v>
      </c>
      <c r="V94" s="50">
        <v>1</v>
      </c>
      <c r="W94" s="50">
        <v>1</v>
      </c>
    </row>
    <row r="95" spans="1:23">
      <c r="A95">
        <v>94</v>
      </c>
      <c r="B95" s="42" t="s">
        <v>106</v>
      </c>
      <c r="C95" s="43" t="s">
        <v>113</v>
      </c>
      <c r="D95" s="43" t="s">
        <v>241</v>
      </c>
      <c r="E95" s="43" t="s">
        <v>275</v>
      </c>
      <c r="F95" s="43" t="s">
        <v>66</v>
      </c>
      <c r="G95" s="43" t="s">
        <v>189</v>
      </c>
      <c r="H95" s="43" t="s">
        <v>191</v>
      </c>
      <c r="I95" s="43"/>
      <c r="J95" s="43"/>
      <c r="K95" s="43"/>
      <c r="L95" s="43"/>
      <c r="M95" s="43"/>
      <c r="N95" s="43" t="s">
        <v>111</v>
      </c>
      <c r="P95" s="50">
        <v>2000</v>
      </c>
      <c r="Q95" s="50">
        <v>1000</v>
      </c>
      <c r="R95" s="50">
        <v>1</v>
      </c>
      <c r="S95" s="50">
        <v>1</v>
      </c>
      <c r="T95" s="50">
        <v>1</v>
      </c>
      <c r="U95" s="50">
        <v>1</v>
      </c>
      <c r="V95" s="50">
        <v>1</v>
      </c>
      <c r="W95" s="50">
        <v>1</v>
      </c>
    </row>
    <row r="96" spans="1:23">
      <c r="A96">
        <v>95</v>
      </c>
      <c r="B96" s="42" t="s">
        <v>106</v>
      </c>
      <c r="C96" s="43" t="s">
        <v>185</v>
      </c>
      <c r="D96" s="43" t="s">
        <v>241</v>
      </c>
      <c r="E96" s="43" t="s">
        <v>276</v>
      </c>
      <c r="F96" s="43" t="s">
        <v>7</v>
      </c>
      <c r="G96" s="43" t="s">
        <v>191</v>
      </c>
      <c r="H96" s="43" t="s">
        <v>190</v>
      </c>
      <c r="I96" s="43"/>
      <c r="J96" s="43"/>
      <c r="K96" s="43" t="s">
        <v>104</v>
      </c>
      <c r="L96" s="43"/>
      <c r="M96" s="43"/>
      <c r="N96" s="43"/>
      <c r="P96" s="50">
        <v>2000</v>
      </c>
      <c r="Q96" s="50">
        <v>1000</v>
      </c>
      <c r="R96" s="50">
        <v>1</v>
      </c>
      <c r="S96" s="50">
        <v>1</v>
      </c>
      <c r="T96" s="50">
        <v>1</v>
      </c>
      <c r="U96" s="50">
        <v>1</v>
      </c>
      <c r="V96" s="50">
        <v>1</v>
      </c>
      <c r="W96" s="50">
        <v>1</v>
      </c>
    </row>
    <row r="97" spans="1:23">
      <c r="A97">
        <v>96</v>
      </c>
      <c r="B97" s="42" t="s">
        <v>106</v>
      </c>
      <c r="C97" s="43" t="s">
        <v>120</v>
      </c>
      <c r="D97" s="43" t="s">
        <v>242</v>
      </c>
      <c r="E97" s="43" t="s">
        <v>35</v>
      </c>
      <c r="F97" s="43" t="s">
        <v>7</v>
      </c>
      <c r="G97" s="43" t="s">
        <v>190</v>
      </c>
      <c r="H97" s="43" t="s">
        <v>190</v>
      </c>
      <c r="I97" s="43"/>
      <c r="J97" s="43"/>
      <c r="K97" s="43" t="s">
        <v>111</v>
      </c>
      <c r="L97" s="43" t="s">
        <v>118</v>
      </c>
      <c r="M97" s="43"/>
      <c r="N97" s="43"/>
      <c r="P97" s="50">
        <v>2000</v>
      </c>
      <c r="Q97" s="50">
        <v>1000</v>
      </c>
      <c r="R97" s="50">
        <v>1</v>
      </c>
      <c r="S97" s="50">
        <v>1</v>
      </c>
      <c r="T97" s="50">
        <v>1</v>
      </c>
      <c r="U97" s="50">
        <v>1</v>
      </c>
      <c r="V97" s="50">
        <v>1</v>
      </c>
      <c r="W97" s="50">
        <v>1</v>
      </c>
    </row>
    <row r="98" spans="1:23">
      <c r="A98">
        <v>97</v>
      </c>
      <c r="B98" s="42" t="s">
        <v>106</v>
      </c>
      <c r="C98" s="43" t="s">
        <v>112</v>
      </c>
      <c r="D98" s="43" t="s">
        <v>242</v>
      </c>
      <c r="E98" s="43" t="s">
        <v>275</v>
      </c>
      <c r="F98" s="43" t="s">
        <v>66</v>
      </c>
      <c r="G98" s="43" t="s">
        <v>191</v>
      </c>
      <c r="H98" s="43" t="s">
        <v>189</v>
      </c>
      <c r="I98" s="43" t="s">
        <v>119</v>
      </c>
      <c r="J98" s="43"/>
      <c r="K98" s="43"/>
      <c r="L98" s="43"/>
      <c r="M98" s="43"/>
      <c r="N98" s="43" t="s">
        <v>108</v>
      </c>
      <c r="P98" s="50">
        <v>2000</v>
      </c>
      <c r="Q98" s="50">
        <v>1000</v>
      </c>
      <c r="R98" s="50">
        <v>1</v>
      </c>
      <c r="S98" s="50">
        <v>1</v>
      </c>
      <c r="T98" s="50">
        <v>1</v>
      </c>
      <c r="U98" s="50">
        <v>1</v>
      </c>
      <c r="V98" s="50">
        <v>1</v>
      </c>
      <c r="W98" s="50">
        <v>1</v>
      </c>
    </row>
    <row r="99" spans="1:23">
      <c r="A99">
        <v>98</v>
      </c>
      <c r="B99" s="42" t="s">
        <v>106</v>
      </c>
      <c r="C99" s="43" t="s">
        <v>245</v>
      </c>
      <c r="D99" s="43" t="s">
        <v>242</v>
      </c>
      <c r="E99" s="43" t="s">
        <v>276</v>
      </c>
      <c r="F99" s="43" t="s">
        <v>35</v>
      </c>
      <c r="G99" s="43" t="s">
        <v>189</v>
      </c>
      <c r="H99" s="43" t="s">
        <v>190</v>
      </c>
      <c r="I99" s="43"/>
      <c r="J99" s="43"/>
      <c r="K99" s="43" t="s">
        <v>108</v>
      </c>
      <c r="L99" s="43" t="s">
        <v>111</v>
      </c>
      <c r="M99" s="43"/>
      <c r="N99" s="43"/>
      <c r="P99" s="50">
        <v>2000</v>
      </c>
      <c r="Q99" s="50">
        <v>1000</v>
      </c>
      <c r="R99" s="50">
        <v>1</v>
      </c>
      <c r="S99" s="50">
        <v>1</v>
      </c>
      <c r="T99" s="50">
        <v>1</v>
      </c>
      <c r="U99" s="50">
        <v>1</v>
      </c>
      <c r="V99" s="50">
        <v>1</v>
      </c>
      <c r="W99" s="50">
        <v>1</v>
      </c>
    </row>
    <row r="100" spans="1:23">
      <c r="A100">
        <v>99</v>
      </c>
      <c r="B100" s="42" t="s">
        <v>111</v>
      </c>
      <c r="C100" s="43" t="s">
        <v>187</v>
      </c>
      <c r="D100" s="43" t="s">
        <v>241</v>
      </c>
      <c r="E100" s="43" t="s">
        <v>276</v>
      </c>
      <c r="F100" s="43" t="s">
        <v>7</v>
      </c>
      <c r="G100" s="43" t="s">
        <v>190</v>
      </c>
      <c r="H100" s="43" t="s">
        <v>190</v>
      </c>
      <c r="I100" s="43"/>
      <c r="J100" s="43"/>
      <c r="K100" s="43" t="s">
        <v>106</v>
      </c>
      <c r="L100" s="43"/>
      <c r="M100" s="43"/>
      <c r="N100" s="43"/>
      <c r="P100" s="50">
        <v>2000</v>
      </c>
      <c r="Q100" s="50">
        <v>1000</v>
      </c>
      <c r="R100" s="50">
        <v>1</v>
      </c>
      <c r="S100" s="50">
        <v>1</v>
      </c>
      <c r="T100" s="50">
        <v>1</v>
      </c>
      <c r="U100" s="50">
        <v>1</v>
      </c>
      <c r="V100" s="50">
        <v>1</v>
      </c>
      <c r="W100" s="50">
        <v>1</v>
      </c>
    </row>
    <row r="101" spans="1:23">
      <c r="A101">
        <v>100</v>
      </c>
      <c r="B101" s="42" t="s">
        <v>111</v>
      </c>
      <c r="C101" s="43" t="s">
        <v>188</v>
      </c>
      <c r="D101" s="43" t="s">
        <v>241</v>
      </c>
      <c r="E101" s="43" t="s">
        <v>35</v>
      </c>
      <c r="F101" s="43" t="s">
        <v>66</v>
      </c>
      <c r="G101" s="43" t="s">
        <v>191</v>
      </c>
      <c r="H101" s="43" t="s">
        <v>192</v>
      </c>
      <c r="I101" s="43"/>
      <c r="J101" s="43"/>
      <c r="K101" s="43"/>
      <c r="L101" s="43"/>
      <c r="M101" s="43"/>
      <c r="N101" s="43" t="s">
        <v>115</v>
      </c>
      <c r="P101" s="50">
        <v>2000</v>
      </c>
      <c r="Q101" s="50">
        <v>1000</v>
      </c>
      <c r="R101" s="50">
        <v>1</v>
      </c>
      <c r="S101" s="50">
        <v>1</v>
      </c>
      <c r="T101" s="50">
        <v>1</v>
      </c>
      <c r="U101" s="50">
        <v>1</v>
      </c>
      <c r="V101" s="50">
        <v>1</v>
      </c>
      <c r="W101" s="50">
        <v>1</v>
      </c>
    </row>
    <row r="102" spans="1:23">
      <c r="A102">
        <v>101</v>
      </c>
      <c r="B102" s="42" t="s">
        <v>111</v>
      </c>
      <c r="C102" s="43" t="s">
        <v>246</v>
      </c>
      <c r="D102" s="43" t="s">
        <v>242</v>
      </c>
      <c r="E102" s="43" t="s">
        <v>275</v>
      </c>
      <c r="F102" s="43" t="s">
        <v>7</v>
      </c>
      <c r="G102" s="43" t="s">
        <v>190</v>
      </c>
      <c r="H102" s="43" t="s">
        <v>191</v>
      </c>
      <c r="I102" s="43"/>
      <c r="J102" s="43"/>
      <c r="K102" s="43" t="s">
        <v>110</v>
      </c>
      <c r="L102" s="43" t="s">
        <v>104</v>
      </c>
      <c r="M102" s="43"/>
      <c r="N102" s="43"/>
      <c r="P102" s="50">
        <v>2000</v>
      </c>
      <c r="Q102" s="50">
        <v>1000</v>
      </c>
      <c r="R102" s="50">
        <v>1</v>
      </c>
      <c r="S102" s="50">
        <v>1</v>
      </c>
      <c r="T102" s="50">
        <v>1</v>
      </c>
      <c r="U102" s="50">
        <v>1</v>
      </c>
      <c r="V102" s="50">
        <v>1</v>
      </c>
      <c r="W102" s="50">
        <v>1</v>
      </c>
    </row>
    <row r="103" spans="1:23">
      <c r="A103">
        <v>102</v>
      </c>
      <c r="B103" s="42" t="s">
        <v>111</v>
      </c>
      <c r="C103" s="43" t="s">
        <v>179</v>
      </c>
      <c r="D103" s="43" t="s">
        <v>242</v>
      </c>
      <c r="E103" s="43" t="s">
        <v>35</v>
      </c>
      <c r="F103" s="43" t="s">
        <v>35</v>
      </c>
      <c r="G103" s="43" t="s">
        <v>189</v>
      </c>
      <c r="H103" s="43" t="s">
        <v>190</v>
      </c>
      <c r="I103" s="43" t="s">
        <v>176</v>
      </c>
      <c r="J103" s="43"/>
      <c r="K103" s="43"/>
      <c r="L103" s="43"/>
      <c r="M103" s="43"/>
      <c r="N103" s="43" t="s">
        <v>106</v>
      </c>
      <c r="P103" s="50">
        <v>2000</v>
      </c>
      <c r="Q103" s="50">
        <v>1000</v>
      </c>
      <c r="R103" s="50">
        <v>1</v>
      </c>
      <c r="S103" s="50">
        <v>1</v>
      </c>
      <c r="T103" s="50">
        <v>1</v>
      </c>
      <c r="U103" s="50">
        <v>1</v>
      </c>
      <c r="V103" s="50">
        <v>1</v>
      </c>
      <c r="W103" s="50">
        <v>1</v>
      </c>
    </row>
    <row r="104" spans="1:23">
      <c r="A104">
        <v>103</v>
      </c>
      <c r="B104" s="42" t="s">
        <v>111</v>
      </c>
      <c r="C104" s="43" t="s">
        <v>178</v>
      </c>
      <c r="D104" s="43" t="s">
        <v>242</v>
      </c>
      <c r="E104" s="43" t="s">
        <v>276</v>
      </c>
      <c r="F104" s="43" t="s">
        <v>66</v>
      </c>
      <c r="G104" s="43" t="s">
        <v>191</v>
      </c>
      <c r="H104" s="43" t="s">
        <v>189</v>
      </c>
      <c r="I104" s="43"/>
      <c r="J104" s="43"/>
      <c r="K104" s="43" t="s">
        <v>98</v>
      </c>
      <c r="L104" s="43" t="s">
        <v>150</v>
      </c>
      <c r="M104" s="43"/>
      <c r="N104" s="43"/>
      <c r="P104" s="50">
        <v>2000</v>
      </c>
      <c r="Q104" s="50">
        <v>1000</v>
      </c>
      <c r="R104" s="50">
        <v>1</v>
      </c>
      <c r="S104" s="50">
        <v>1</v>
      </c>
      <c r="T104" s="50">
        <v>1</v>
      </c>
      <c r="U104" s="50">
        <v>1</v>
      </c>
      <c r="V104" s="50">
        <v>1</v>
      </c>
      <c r="W104" s="50">
        <v>1</v>
      </c>
    </row>
    <row r="105" spans="1:23">
      <c r="A105">
        <v>104</v>
      </c>
      <c r="B105" s="42" t="s">
        <v>99</v>
      </c>
      <c r="C105" s="43" t="s">
        <v>113</v>
      </c>
      <c r="D105" s="43" t="s">
        <v>241</v>
      </c>
      <c r="E105" s="43" t="s">
        <v>276</v>
      </c>
      <c r="F105" s="43" t="s">
        <v>66</v>
      </c>
      <c r="G105" s="43" t="s">
        <v>191</v>
      </c>
      <c r="H105" s="43" t="s">
        <v>189</v>
      </c>
      <c r="I105" s="43"/>
      <c r="J105" s="43"/>
      <c r="K105" s="43" t="s">
        <v>104</v>
      </c>
      <c r="L105" s="43"/>
      <c r="M105" s="43"/>
      <c r="N105" s="43"/>
      <c r="P105" s="50">
        <v>2000</v>
      </c>
      <c r="Q105" s="50">
        <v>1000</v>
      </c>
      <c r="R105" s="50">
        <v>1</v>
      </c>
      <c r="S105" s="50">
        <v>1</v>
      </c>
      <c r="T105" s="50">
        <v>1</v>
      </c>
      <c r="U105" s="50">
        <v>1</v>
      </c>
      <c r="V105" s="50">
        <v>1</v>
      </c>
      <c r="W105" s="50">
        <v>1</v>
      </c>
    </row>
    <row r="106" spans="1:23">
      <c r="A106">
        <v>105</v>
      </c>
      <c r="B106" s="42" t="s">
        <v>99</v>
      </c>
      <c r="C106" s="43" t="s">
        <v>185</v>
      </c>
      <c r="D106" s="43" t="s">
        <v>241</v>
      </c>
      <c r="E106" s="43" t="s">
        <v>276</v>
      </c>
      <c r="F106" s="43" t="s">
        <v>66</v>
      </c>
      <c r="G106" s="43" t="s">
        <v>192</v>
      </c>
      <c r="H106" s="43" t="s">
        <v>191</v>
      </c>
      <c r="I106" s="43"/>
      <c r="J106" s="43"/>
      <c r="K106" s="43"/>
      <c r="L106" s="43"/>
      <c r="M106" s="43"/>
      <c r="N106" s="43" t="s">
        <v>118</v>
      </c>
      <c r="P106" s="50">
        <v>2000</v>
      </c>
      <c r="Q106" s="50">
        <v>1000</v>
      </c>
      <c r="R106" s="50">
        <v>1</v>
      </c>
      <c r="S106" s="50">
        <v>1</v>
      </c>
      <c r="T106" s="50">
        <v>1</v>
      </c>
      <c r="U106" s="50">
        <v>1</v>
      </c>
      <c r="V106" s="50">
        <v>1</v>
      </c>
      <c r="W106" s="50">
        <v>1</v>
      </c>
    </row>
    <row r="107" spans="1:23">
      <c r="A107">
        <v>106</v>
      </c>
      <c r="B107" s="42" t="s">
        <v>99</v>
      </c>
      <c r="C107" s="43" t="s">
        <v>120</v>
      </c>
      <c r="D107" s="43" t="s">
        <v>242</v>
      </c>
      <c r="E107" s="43" t="s">
        <v>35</v>
      </c>
      <c r="F107" s="43" t="s">
        <v>7</v>
      </c>
      <c r="G107" s="43" t="s">
        <v>190</v>
      </c>
      <c r="H107" s="43" t="s">
        <v>191</v>
      </c>
      <c r="I107" s="43"/>
      <c r="J107" s="43"/>
      <c r="K107" s="43" t="s">
        <v>127</v>
      </c>
      <c r="L107" s="43" t="s">
        <v>110</v>
      </c>
      <c r="M107" s="43"/>
      <c r="N107" s="43"/>
      <c r="P107" s="50">
        <v>2000</v>
      </c>
      <c r="Q107" s="50">
        <v>1000</v>
      </c>
      <c r="R107" s="50">
        <v>1</v>
      </c>
      <c r="S107" s="50">
        <v>1</v>
      </c>
      <c r="T107" s="50">
        <v>1</v>
      </c>
      <c r="U107" s="50">
        <v>1</v>
      </c>
      <c r="V107" s="50">
        <v>1</v>
      </c>
      <c r="W107" s="50">
        <v>1</v>
      </c>
    </row>
    <row r="108" spans="1:23">
      <c r="A108">
        <v>107</v>
      </c>
      <c r="B108" s="42" t="s">
        <v>99</v>
      </c>
      <c r="C108" s="43" t="s">
        <v>112</v>
      </c>
      <c r="D108" s="43" t="s">
        <v>242</v>
      </c>
      <c r="E108" s="43" t="s">
        <v>275</v>
      </c>
      <c r="F108" s="43" t="s">
        <v>35</v>
      </c>
      <c r="G108" s="43" t="s">
        <v>189</v>
      </c>
      <c r="H108" s="43" t="s">
        <v>190</v>
      </c>
      <c r="I108" s="43" t="s">
        <v>109</v>
      </c>
      <c r="J108" s="43"/>
      <c r="K108" s="43"/>
      <c r="L108" s="43"/>
      <c r="M108" s="43"/>
      <c r="N108" s="43" t="s">
        <v>107</v>
      </c>
      <c r="P108" s="50">
        <v>2000</v>
      </c>
      <c r="Q108" s="50">
        <v>1000</v>
      </c>
      <c r="R108" s="50">
        <v>1</v>
      </c>
      <c r="S108" s="50">
        <v>1</v>
      </c>
      <c r="T108" s="50">
        <v>1</v>
      </c>
      <c r="U108" s="50">
        <v>1</v>
      </c>
      <c r="V108" s="50">
        <v>1</v>
      </c>
      <c r="W108" s="50">
        <v>1</v>
      </c>
    </row>
    <row r="109" spans="1:23">
      <c r="A109">
        <v>108</v>
      </c>
      <c r="B109" s="42" t="s">
        <v>110</v>
      </c>
      <c r="C109" s="43" t="s">
        <v>113</v>
      </c>
      <c r="D109" s="43" t="s">
        <v>241</v>
      </c>
      <c r="E109" s="43" t="s">
        <v>275</v>
      </c>
      <c r="F109" s="43" t="s">
        <v>7</v>
      </c>
      <c r="G109" s="43" t="s">
        <v>190</v>
      </c>
      <c r="H109" s="43" t="s">
        <v>191</v>
      </c>
      <c r="I109" s="43"/>
      <c r="J109" s="43"/>
      <c r="K109" s="43"/>
      <c r="L109" s="43"/>
      <c r="M109" s="43"/>
      <c r="N109" s="43" t="s">
        <v>107</v>
      </c>
      <c r="P109" s="50">
        <v>2000</v>
      </c>
      <c r="Q109" s="50">
        <v>1000</v>
      </c>
      <c r="R109" s="50">
        <v>1</v>
      </c>
      <c r="S109" s="50">
        <v>1</v>
      </c>
      <c r="T109" s="50">
        <v>1</v>
      </c>
      <c r="U109" s="50">
        <v>1</v>
      </c>
      <c r="V109" s="50">
        <v>1</v>
      </c>
      <c r="W109" s="50">
        <v>1</v>
      </c>
    </row>
    <row r="110" spans="1:23">
      <c r="A110">
        <v>109</v>
      </c>
      <c r="B110" s="42" t="s">
        <v>110</v>
      </c>
      <c r="C110" s="43" t="s">
        <v>185</v>
      </c>
      <c r="D110" s="43" t="s">
        <v>241</v>
      </c>
      <c r="E110" s="43" t="s">
        <v>276</v>
      </c>
      <c r="F110" s="43" t="s">
        <v>66</v>
      </c>
      <c r="G110" s="43" t="s">
        <v>191</v>
      </c>
      <c r="H110" s="43" t="s">
        <v>189</v>
      </c>
      <c r="I110" s="43"/>
      <c r="J110" s="43"/>
      <c r="K110" s="43" t="s">
        <v>108</v>
      </c>
      <c r="L110" s="43"/>
      <c r="M110" s="43"/>
      <c r="N110" s="43"/>
      <c r="P110" s="50">
        <v>2000</v>
      </c>
      <c r="Q110" s="50">
        <v>1000</v>
      </c>
      <c r="R110" s="50">
        <v>1</v>
      </c>
      <c r="S110" s="50">
        <v>1</v>
      </c>
      <c r="T110" s="50">
        <v>1</v>
      </c>
      <c r="U110" s="50">
        <v>1</v>
      </c>
      <c r="V110" s="50">
        <v>1</v>
      </c>
      <c r="W110" s="50">
        <v>1</v>
      </c>
    </row>
    <row r="111" spans="1:23">
      <c r="A111">
        <v>110</v>
      </c>
      <c r="B111" s="42" t="s">
        <v>110</v>
      </c>
      <c r="C111" s="43" t="s">
        <v>120</v>
      </c>
      <c r="D111" s="43" t="s">
        <v>242</v>
      </c>
      <c r="E111" s="43" t="s">
        <v>276</v>
      </c>
      <c r="F111" s="43" t="s">
        <v>66</v>
      </c>
      <c r="G111" s="43" t="s">
        <v>191</v>
      </c>
      <c r="H111" s="43" t="s">
        <v>192</v>
      </c>
      <c r="I111" s="43"/>
      <c r="J111" s="43"/>
      <c r="K111" s="43" t="s">
        <v>119</v>
      </c>
      <c r="L111" s="43" t="s">
        <v>99</v>
      </c>
      <c r="M111" s="43"/>
      <c r="N111" s="43"/>
      <c r="P111" s="50">
        <v>2000</v>
      </c>
      <c r="Q111" s="50">
        <v>1000</v>
      </c>
      <c r="R111" s="50">
        <v>1</v>
      </c>
      <c r="S111" s="50">
        <v>1</v>
      </c>
      <c r="T111" s="50">
        <v>1</v>
      </c>
      <c r="U111" s="50">
        <v>1</v>
      </c>
      <c r="V111" s="50">
        <v>1</v>
      </c>
      <c r="W111" s="50">
        <v>1</v>
      </c>
    </row>
    <row r="112" spans="1:23">
      <c r="A112">
        <v>111</v>
      </c>
      <c r="B112" s="42" t="s">
        <v>110</v>
      </c>
      <c r="C112" s="43" t="s">
        <v>112</v>
      </c>
      <c r="D112" s="43" t="s">
        <v>242</v>
      </c>
      <c r="E112" s="43" t="s">
        <v>35</v>
      </c>
      <c r="F112" s="43" t="s">
        <v>35</v>
      </c>
      <c r="G112" s="43" t="s">
        <v>190</v>
      </c>
      <c r="H112" s="43" t="s">
        <v>189</v>
      </c>
      <c r="I112" s="43" t="s">
        <v>105</v>
      </c>
      <c r="J112" s="43"/>
      <c r="K112" s="43"/>
      <c r="L112" s="43"/>
      <c r="M112" s="43"/>
      <c r="N112" s="43" t="s">
        <v>181</v>
      </c>
      <c r="P112" s="50">
        <v>2000</v>
      </c>
      <c r="Q112" s="50">
        <v>1000</v>
      </c>
      <c r="R112" s="50">
        <v>1</v>
      </c>
      <c r="S112" s="50">
        <v>1</v>
      </c>
      <c r="T112" s="50">
        <v>1</v>
      </c>
      <c r="U112" s="50">
        <v>1</v>
      </c>
      <c r="V112" s="50">
        <v>1</v>
      </c>
      <c r="W112" s="50">
        <v>1</v>
      </c>
    </row>
    <row r="113" spans="1:23">
      <c r="A113">
        <v>112</v>
      </c>
      <c r="B113" s="42" t="s">
        <v>107</v>
      </c>
      <c r="C113" s="43" t="s">
        <v>113</v>
      </c>
      <c r="D113" s="43" t="s">
        <v>241</v>
      </c>
      <c r="E113" s="43" t="s">
        <v>276</v>
      </c>
      <c r="F113" s="43" t="s">
        <v>7</v>
      </c>
      <c r="G113" s="43" t="s">
        <v>190</v>
      </c>
      <c r="H113" s="43" t="s">
        <v>191</v>
      </c>
      <c r="I113" s="43"/>
      <c r="J113" s="43"/>
      <c r="K113" s="43"/>
      <c r="L113" s="43"/>
      <c r="M113" s="43"/>
      <c r="N113" s="43" t="s">
        <v>98</v>
      </c>
      <c r="P113" s="50">
        <v>2000</v>
      </c>
      <c r="Q113" s="50">
        <v>1000</v>
      </c>
      <c r="R113" s="50">
        <v>1</v>
      </c>
      <c r="S113" s="50">
        <v>1</v>
      </c>
      <c r="T113" s="50">
        <v>1</v>
      </c>
      <c r="U113" s="50">
        <v>1</v>
      </c>
      <c r="V113" s="50">
        <v>1</v>
      </c>
      <c r="W113" s="50">
        <v>1</v>
      </c>
    </row>
    <row r="114" spans="1:23">
      <c r="A114">
        <v>113</v>
      </c>
      <c r="B114" s="42" t="s">
        <v>107</v>
      </c>
      <c r="C114" s="43" t="s">
        <v>185</v>
      </c>
      <c r="D114" s="43" t="s">
        <v>241</v>
      </c>
      <c r="E114" s="43" t="s">
        <v>35</v>
      </c>
      <c r="F114" s="43" t="s">
        <v>35</v>
      </c>
      <c r="G114" s="43" t="s">
        <v>189</v>
      </c>
      <c r="H114" s="43" t="s">
        <v>189</v>
      </c>
      <c r="I114" s="43"/>
      <c r="J114" s="43"/>
      <c r="K114" s="43" t="s">
        <v>143</v>
      </c>
      <c r="L114" s="43"/>
      <c r="M114" s="43"/>
      <c r="N114" s="43"/>
      <c r="P114" s="50">
        <v>2000</v>
      </c>
      <c r="Q114" s="50">
        <v>1000</v>
      </c>
      <c r="R114" s="50">
        <v>1</v>
      </c>
      <c r="S114" s="50">
        <v>1</v>
      </c>
      <c r="T114" s="50">
        <v>1</v>
      </c>
      <c r="U114" s="50">
        <v>1</v>
      </c>
      <c r="V114" s="50">
        <v>1</v>
      </c>
      <c r="W114" s="50">
        <v>1</v>
      </c>
    </row>
    <row r="115" spans="1:23">
      <c r="A115">
        <v>114</v>
      </c>
      <c r="B115" s="42" t="s">
        <v>107</v>
      </c>
      <c r="C115" s="43" t="s">
        <v>120</v>
      </c>
      <c r="D115" s="43" t="s">
        <v>242</v>
      </c>
      <c r="E115" s="43" t="s">
        <v>275</v>
      </c>
      <c r="F115" s="43" t="s">
        <v>7</v>
      </c>
      <c r="G115" s="43" t="s">
        <v>191</v>
      </c>
      <c r="H115" s="43" t="s">
        <v>190</v>
      </c>
      <c r="I115" s="43"/>
      <c r="J115" s="43"/>
      <c r="K115" s="43" t="s">
        <v>103</v>
      </c>
      <c r="L115" s="43" t="s">
        <v>181</v>
      </c>
      <c r="M115" s="43"/>
      <c r="N115" s="43"/>
      <c r="P115" s="50">
        <v>2000</v>
      </c>
      <c r="Q115" s="50">
        <v>1000</v>
      </c>
      <c r="R115" s="50">
        <v>1</v>
      </c>
      <c r="S115" s="50">
        <v>1</v>
      </c>
      <c r="T115" s="50">
        <v>1</v>
      </c>
      <c r="U115" s="50">
        <v>1</v>
      </c>
      <c r="V115" s="50">
        <v>1</v>
      </c>
      <c r="W115" s="50">
        <v>1</v>
      </c>
    </row>
    <row r="116" spans="1:23">
      <c r="A116">
        <v>115</v>
      </c>
      <c r="B116" s="42" t="s">
        <v>107</v>
      </c>
      <c r="C116" s="43" t="s">
        <v>112</v>
      </c>
      <c r="D116" s="43" t="s">
        <v>242</v>
      </c>
      <c r="E116" s="43" t="s">
        <v>275</v>
      </c>
      <c r="F116" s="43" t="s">
        <v>66</v>
      </c>
      <c r="G116" s="43" t="s">
        <v>191</v>
      </c>
      <c r="H116" s="43" t="s">
        <v>189</v>
      </c>
      <c r="I116" s="43" t="s">
        <v>105</v>
      </c>
      <c r="J116" s="43"/>
      <c r="K116" s="43"/>
      <c r="L116" s="43"/>
      <c r="M116" s="43"/>
      <c r="N116" s="43" t="s">
        <v>99</v>
      </c>
      <c r="P116" s="50">
        <v>2000</v>
      </c>
      <c r="Q116" s="50">
        <v>1000</v>
      </c>
      <c r="R116" s="50">
        <v>1</v>
      </c>
      <c r="S116" s="50">
        <v>1</v>
      </c>
      <c r="T116" s="50">
        <v>1</v>
      </c>
      <c r="U116" s="50">
        <v>1</v>
      </c>
      <c r="V116" s="50">
        <v>1</v>
      </c>
      <c r="W116" s="50">
        <v>1</v>
      </c>
    </row>
    <row r="117" spans="1:23">
      <c r="A117">
        <v>116</v>
      </c>
      <c r="B117" s="42" t="s">
        <v>181</v>
      </c>
      <c r="C117" s="43" t="s">
        <v>113</v>
      </c>
      <c r="D117" s="43" t="s">
        <v>241</v>
      </c>
      <c r="E117" s="43" t="s">
        <v>35</v>
      </c>
      <c r="F117" s="43" t="s">
        <v>66</v>
      </c>
      <c r="G117" s="43" t="s">
        <v>191</v>
      </c>
      <c r="H117" s="43" t="s">
        <v>189</v>
      </c>
      <c r="I117" s="43"/>
      <c r="J117" s="43"/>
      <c r="K117" s="43" t="s">
        <v>99</v>
      </c>
      <c r="L117" s="43"/>
      <c r="M117" s="43"/>
      <c r="N117" s="43"/>
      <c r="P117" s="50">
        <v>2000</v>
      </c>
      <c r="Q117" s="50">
        <v>1000</v>
      </c>
      <c r="R117" s="50">
        <v>1</v>
      </c>
      <c r="S117" s="50">
        <v>1</v>
      </c>
      <c r="T117" s="50">
        <v>1</v>
      </c>
      <c r="U117" s="50">
        <v>1</v>
      </c>
      <c r="V117" s="50">
        <v>1</v>
      </c>
      <c r="W117" s="50">
        <v>1</v>
      </c>
    </row>
    <row r="118" spans="1:23">
      <c r="A118">
        <v>117</v>
      </c>
      <c r="B118" s="42" t="s">
        <v>181</v>
      </c>
      <c r="C118" s="43" t="s">
        <v>185</v>
      </c>
      <c r="D118" s="43" t="s">
        <v>241</v>
      </c>
      <c r="E118" s="43" t="s">
        <v>275</v>
      </c>
      <c r="F118" s="43" t="s">
        <v>35</v>
      </c>
      <c r="G118" s="43" t="s">
        <v>189</v>
      </c>
      <c r="H118" s="43" t="s">
        <v>190</v>
      </c>
      <c r="I118" s="43"/>
      <c r="J118" s="43"/>
      <c r="K118" s="43"/>
      <c r="L118" s="43"/>
      <c r="M118" s="43"/>
      <c r="N118" s="43" t="s">
        <v>177</v>
      </c>
      <c r="P118" s="50">
        <v>2000</v>
      </c>
      <c r="Q118" s="50">
        <v>1000</v>
      </c>
      <c r="R118" s="50">
        <v>1</v>
      </c>
      <c r="S118" s="50">
        <v>1</v>
      </c>
      <c r="T118" s="50">
        <v>1</v>
      </c>
      <c r="U118" s="50">
        <v>1</v>
      </c>
      <c r="V118" s="50">
        <v>1</v>
      </c>
      <c r="W118" s="50">
        <v>1</v>
      </c>
    </row>
    <row r="119" spans="1:23">
      <c r="A119">
        <v>118</v>
      </c>
      <c r="B119" s="42" t="s">
        <v>181</v>
      </c>
      <c r="C119" s="43" t="s">
        <v>120</v>
      </c>
      <c r="D119" s="43" t="s">
        <v>242</v>
      </c>
      <c r="E119" s="43" t="s">
        <v>275</v>
      </c>
      <c r="F119" s="43" t="s">
        <v>7</v>
      </c>
      <c r="G119" s="43" t="s">
        <v>190</v>
      </c>
      <c r="H119" s="43" t="s">
        <v>190</v>
      </c>
      <c r="I119" s="43" t="s">
        <v>107</v>
      </c>
      <c r="J119" s="43"/>
      <c r="K119" s="43"/>
      <c r="L119" s="43"/>
      <c r="M119" s="43"/>
      <c r="N119" s="43" t="s">
        <v>114</v>
      </c>
      <c r="P119" s="50">
        <v>2000</v>
      </c>
      <c r="Q119" s="50">
        <v>1000</v>
      </c>
      <c r="R119" s="50">
        <v>1</v>
      </c>
      <c r="S119" s="50">
        <v>1</v>
      </c>
      <c r="T119" s="50">
        <v>1</v>
      </c>
      <c r="U119" s="50">
        <v>1</v>
      </c>
      <c r="V119" s="50">
        <v>1</v>
      </c>
      <c r="W119" s="50">
        <v>1</v>
      </c>
    </row>
    <row r="120" spans="1:23">
      <c r="A120">
        <v>119</v>
      </c>
      <c r="B120" s="42" t="s">
        <v>181</v>
      </c>
      <c r="C120" s="43" t="s">
        <v>112</v>
      </c>
      <c r="D120" s="43" t="s">
        <v>242</v>
      </c>
      <c r="E120" s="43" t="s">
        <v>276</v>
      </c>
      <c r="F120" s="43" t="s">
        <v>66</v>
      </c>
      <c r="G120" s="43" t="s">
        <v>189</v>
      </c>
      <c r="H120" s="43" t="s">
        <v>191</v>
      </c>
      <c r="I120" s="43"/>
      <c r="J120" s="43"/>
      <c r="K120" s="43" t="s">
        <v>110</v>
      </c>
      <c r="L120" s="43" t="s">
        <v>118</v>
      </c>
      <c r="M120" s="43"/>
      <c r="N120" s="43"/>
      <c r="P120" s="50">
        <v>2000</v>
      </c>
      <c r="Q120" s="50">
        <v>1000</v>
      </c>
      <c r="R120" s="50">
        <v>1</v>
      </c>
      <c r="S120" s="50">
        <v>1</v>
      </c>
      <c r="T120" s="50">
        <v>1</v>
      </c>
      <c r="U120" s="50">
        <v>1</v>
      </c>
      <c r="V120" s="50">
        <v>1</v>
      </c>
      <c r="W120" s="50">
        <v>1</v>
      </c>
    </row>
    <row r="121" spans="1:23">
      <c r="A121">
        <v>120</v>
      </c>
      <c r="P121" s="50">
        <v>2000</v>
      </c>
      <c r="Q121" s="50">
        <v>1000</v>
      </c>
      <c r="R121" s="50">
        <v>1</v>
      </c>
      <c r="S121" s="50">
        <v>1</v>
      </c>
      <c r="T121" s="50">
        <v>1</v>
      </c>
      <c r="U121" s="50">
        <v>1</v>
      </c>
      <c r="V121" s="50">
        <v>1</v>
      </c>
      <c r="W121" s="50">
        <v>1</v>
      </c>
    </row>
    <row r="122" spans="1:23">
      <c r="A122">
        <v>121</v>
      </c>
      <c r="P122" s="50">
        <v>2000</v>
      </c>
      <c r="Q122" s="50">
        <v>1000</v>
      </c>
      <c r="R122" s="50">
        <v>1</v>
      </c>
      <c r="S122" s="50">
        <v>1</v>
      </c>
      <c r="T122" s="50">
        <v>1</v>
      </c>
      <c r="U122" s="50">
        <v>1</v>
      </c>
      <c r="V122" s="50">
        <v>1</v>
      </c>
      <c r="W122" s="50">
        <v>1</v>
      </c>
    </row>
    <row r="123" spans="1:23">
      <c r="A123">
        <v>122</v>
      </c>
      <c r="P123" s="50">
        <v>2000</v>
      </c>
      <c r="Q123" s="50">
        <v>1000</v>
      </c>
      <c r="R123" s="50">
        <v>1</v>
      </c>
      <c r="S123" s="50">
        <v>1</v>
      </c>
      <c r="T123" s="50">
        <v>1</v>
      </c>
      <c r="U123" s="50">
        <v>1</v>
      </c>
      <c r="V123" s="50">
        <v>1</v>
      </c>
      <c r="W123" s="50">
        <v>1</v>
      </c>
    </row>
    <row r="124" spans="1:23">
      <c r="A124">
        <v>123</v>
      </c>
      <c r="P124" s="50">
        <v>2000</v>
      </c>
      <c r="Q124" s="50">
        <v>1000</v>
      </c>
      <c r="R124" s="50">
        <v>1</v>
      </c>
      <c r="S124" s="50">
        <v>1</v>
      </c>
      <c r="T124" s="50">
        <v>1</v>
      </c>
      <c r="U124" s="50">
        <v>1</v>
      </c>
      <c r="V124" s="50">
        <v>1</v>
      </c>
      <c r="W124" s="50">
        <v>1</v>
      </c>
    </row>
    <row r="125" spans="1:23">
      <c r="A125">
        <v>124</v>
      </c>
      <c r="P125" s="50">
        <v>2000</v>
      </c>
      <c r="Q125" s="50">
        <v>1000</v>
      </c>
      <c r="R125" s="50">
        <v>1</v>
      </c>
      <c r="S125" s="50">
        <v>1</v>
      </c>
      <c r="T125" s="50">
        <v>1</v>
      </c>
      <c r="U125" s="50">
        <v>1</v>
      </c>
      <c r="V125" s="50">
        <v>1</v>
      </c>
      <c r="W125" s="50">
        <v>1</v>
      </c>
    </row>
    <row r="126" spans="1:23">
      <c r="A126">
        <v>125</v>
      </c>
      <c r="P126" s="50">
        <v>2000</v>
      </c>
      <c r="Q126" s="50">
        <v>1000</v>
      </c>
      <c r="R126" s="50">
        <v>1</v>
      </c>
      <c r="S126" s="50">
        <v>1</v>
      </c>
      <c r="T126" s="50">
        <v>1</v>
      </c>
      <c r="U126" s="50">
        <v>1</v>
      </c>
      <c r="V126" s="50">
        <v>1</v>
      </c>
      <c r="W126" s="50">
        <v>1</v>
      </c>
    </row>
    <row r="127" spans="1:23">
      <c r="A127">
        <v>126</v>
      </c>
      <c r="P127" s="50">
        <v>2000</v>
      </c>
      <c r="Q127" s="50">
        <v>1000</v>
      </c>
      <c r="R127" s="50">
        <v>1</v>
      </c>
      <c r="S127" s="50">
        <v>1</v>
      </c>
      <c r="T127" s="50">
        <v>1</v>
      </c>
      <c r="U127" s="50">
        <v>1</v>
      </c>
      <c r="V127" s="50">
        <v>1</v>
      </c>
      <c r="W127" s="50">
        <v>1</v>
      </c>
    </row>
    <row r="128" spans="1:23">
      <c r="A128">
        <v>127</v>
      </c>
      <c r="P128" s="50">
        <v>2000</v>
      </c>
      <c r="Q128" s="50">
        <v>1000</v>
      </c>
      <c r="R128" s="50">
        <v>1</v>
      </c>
      <c r="S128" s="50">
        <v>1</v>
      </c>
      <c r="T128" s="50">
        <v>1</v>
      </c>
      <c r="U128" s="50">
        <v>1</v>
      </c>
      <c r="V128" s="50">
        <v>1</v>
      </c>
      <c r="W128" s="50">
        <v>1</v>
      </c>
    </row>
    <row r="129" spans="1:23">
      <c r="A129">
        <v>128</v>
      </c>
      <c r="P129" s="50">
        <v>2000</v>
      </c>
      <c r="Q129" s="50">
        <v>1000</v>
      </c>
      <c r="R129" s="50">
        <v>1</v>
      </c>
      <c r="S129" s="50">
        <v>1</v>
      </c>
      <c r="T129" s="50">
        <v>1</v>
      </c>
      <c r="U129" s="50">
        <v>1</v>
      </c>
      <c r="V129" s="50">
        <v>1</v>
      </c>
      <c r="W129" s="50">
        <v>1</v>
      </c>
    </row>
    <row r="130" spans="1:23">
      <c r="A130">
        <v>129</v>
      </c>
      <c r="P130" s="50">
        <v>2000</v>
      </c>
      <c r="Q130" s="50">
        <v>1000</v>
      </c>
      <c r="R130" s="50">
        <v>1</v>
      </c>
      <c r="S130" s="50">
        <v>1</v>
      </c>
      <c r="T130" s="50">
        <v>1</v>
      </c>
      <c r="U130" s="50">
        <v>1</v>
      </c>
      <c r="V130" s="50">
        <v>1</v>
      </c>
      <c r="W130" s="50">
        <v>1</v>
      </c>
    </row>
    <row r="131" spans="1:23">
      <c r="A131">
        <v>130</v>
      </c>
      <c r="P131" s="50">
        <v>2000</v>
      </c>
      <c r="Q131" s="50">
        <v>1000</v>
      </c>
      <c r="R131" s="50">
        <v>1</v>
      </c>
      <c r="S131" s="50">
        <v>1</v>
      </c>
      <c r="T131" s="50">
        <v>1</v>
      </c>
      <c r="U131" s="50">
        <v>1</v>
      </c>
      <c r="V131" s="50">
        <v>1</v>
      </c>
      <c r="W131" s="50">
        <v>1</v>
      </c>
    </row>
    <row r="132" spans="1:23">
      <c r="A132">
        <v>131</v>
      </c>
      <c r="P132" s="50">
        <v>2000</v>
      </c>
      <c r="Q132" s="50">
        <v>1000</v>
      </c>
      <c r="R132" s="50">
        <v>1</v>
      </c>
      <c r="S132" s="50">
        <v>1</v>
      </c>
      <c r="T132" s="50">
        <v>1</v>
      </c>
      <c r="U132" s="50">
        <v>1</v>
      </c>
      <c r="V132" s="50">
        <v>1</v>
      </c>
      <c r="W132" s="50">
        <v>1</v>
      </c>
    </row>
    <row r="133" spans="1:23">
      <c r="A133">
        <v>132</v>
      </c>
      <c r="P133" s="50">
        <v>2000</v>
      </c>
      <c r="Q133" s="50">
        <v>1000</v>
      </c>
      <c r="R133" s="50">
        <v>1</v>
      </c>
      <c r="S133" s="50">
        <v>1</v>
      </c>
      <c r="T133" s="50">
        <v>1</v>
      </c>
      <c r="U133" s="50">
        <v>1</v>
      </c>
      <c r="V133" s="50">
        <v>1</v>
      </c>
      <c r="W133" s="50">
        <v>1</v>
      </c>
    </row>
    <row r="134" spans="1:23">
      <c r="A134">
        <v>133</v>
      </c>
      <c r="P134" s="50">
        <v>2000</v>
      </c>
      <c r="Q134" s="50">
        <v>1000</v>
      </c>
      <c r="R134" s="50">
        <v>1</v>
      </c>
      <c r="S134" s="50">
        <v>1</v>
      </c>
      <c r="T134" s="50">
        <v>1</v>
      </c>
      <c r="U134" s="50">
        <v>1</v>
      </c>
      <c r="V134" s="50">
        <v>1</v>
      </c>
      <c r="W134" s="50">
        <v>1</v>
      </c>
    </row>
    <row r="135" spans="1:23">
      <c r="A135">
        <v>134</v>
      </c>
      <c r="P135" s="50">
        <v>2000</v>
      </c>
      <c r="Q135" s="50">
        <v>1000</v>
      </c>
      <c r="R135" s="50">
        <v>1</v>
      </c>
      <c r="S135" s="50">
        <v>1</v>
      </c>
      <c r="T135" s="50">
        <v>1</v>
      </c>
      <c r="U135" s="50">
        <v>1</v>
      </c>
      <c r="V135" s="50">
        <v>1</v>
      </c>
      <c r="W135" s="50">
        <v>1</v>
      </c>
    </row>
    <row r="136" spans="1:23">
      <c r="A136">
        <v>135</v>
      </c>
      <c r="P136" s="50">
        <v>2000</v>
      </c>
      <c r="Q136" s="50">
        <v>1000</v>
      </c>
      <c r="R136" s="50">
        <v>1</v>
      </c>
      <c r="S136" s="50">
        <v>1</v>
      </c>
      <c r="T136" s="50">
        <v>1</v>
      </c>
      <c r="U136" s="50">
        <v>1</v>
      </c>
      <c r="V136" s="50">
        <v>1</v>
      </c>
      <c r="W136" s="50">
        <v>1</v>
      </c>
    </row>
    <row r="137" spans="1:23">
      <c r="A137">
        <v>136</v>
      </c>
      <c r="P137" s="50">
        <v>2000</v>
      </c>
      <c r="Q137" s="50">
        <v>1000</v>
      </c>
      <c r="R137" s="50">
        <v>1</v>
      </c>
      <c r="S137" s="50">
        <v>1</v>
      </c>
      <c r="T137" s="50">
        <v>1</v>
      </c>
      <c r="U137" s="50">
        <v>1</v>
      </c>
      <c r="V137" s="50">
        <v>1</v>
      </c>
      <c r="W137" s="50">
        <v>1</v>
      </c>
    </row>
    <row r="138" spans="1:23">
      <c r="A138">
        <v>137</v>
      </c>
      <c r="P138" s="50">
        <v>2000</v>
      </c>
      <c r="Q138" s="50">
        <v>1000</v>
      </c>
      <c r="R138" s="50">
        <v>1</v>
      </c>
      <c r="S138" s="50">
        <v>1</v>
      </c>
      <c r="T138" s="50">
        <v>1</v>
      </c>
      <c r="U138" s="50">
        <v>1</v>
      </c>
      <c r="V138" s="50">
        <v>1</v>
      </c>
      <c r="W138" s="50">
        <v>1</v>
      </c>
    </row>
    <row r="139" spans="1:23">
      <c r="A139">
        <v>138</v>
      </c>
      <c r="P139" s="50">
        <v>2000</v>
      </c>
      <c r="Q139" s="50">
        <v>1000</v>
      </c>
      <c r="R139" s="50">
        <v>1</v>
      </c>
      <c r="S139" s="50">
        <v>1</v>
      </c>
      <c r="T139" s="50">
        <v>1</v>
      </c>
      <c r="U139" s="50">
        <v>1</v>
      </c>
      <c r="V139" s="50">
        <v>1</v>
      </c>
      <c r="W139" s="50">
        <v>1</v>
      </c>
    </row>
    <row r="140" spans="1:23">
      <c r="A140">
        <v>139</v>
      </c>
      <c r="P140" s="50">
        <v>2000</v>
      </c>
      <c r="Q140" s="50">
        <v>1000</v>
      </c>
      <c r="R140" s="50">
        <v>1</v>
      </c>
      <c r="S140" s="50">
        <v>1</v>
      </c>
      <c r="T140" s="50">
        <v>1</v>
      </c>
      <c r="U140" s="50">
        <v>1</v>
      </c>
      <c r="V140" s="50">
        <v>1</v>
      </c>
      <c r="W140" s="50">
        <v>1</v>
      </c>
    </row>
    <row r="141" spans="1:23">
      <c r="A141">
        <v>140</v>
      </c>
      <c r="P141" s="50">
        <v>2000</v>
      </c>
      <c r="Q141" s="50">
        <v>1000</v>
      </c>
      <c r="R141" s="50">
        <v>1</v>
      </c>
      <c r="S141" s="50">
        <v>1</v>
      </c>
      <c r="T141" s="50">
        <v>1</v>
      </c>
      <c r="U141" s="50">
        <v>1</v>
      </c>
      <c r="V141" s="50">
        <v>1</v>
      </c>
      <c r="W141" s="50">
        <v>1</v>
      </c>
    </row>
    <row r="142" spans="1:23">
      <c r="A142">
        <v>141</v>
      </c>
      <c r="P142" s="50">
        <v>2000</v>
      </c>
      <c r="Q142" s="50">
        <v>1000</v>
      </c>
      <c r="R142" s="50">
        <v>1</v>
      </c>
      <c r="S142" s="50">
        <v>1</v>
      </c>
      <c r="T142" s="50">
        <v>1</v>
      </c>
      <c r="U142" s="50">
        <v>1</v>
      </c>
      <c r="V142" s="50">
        <v>1</v>
      </c>
      <c r="W142" s="50">
        <v>1</v>
      </c>
    </row>
    <row r="143" spans="1:23">
      <c r="A143">
        <v>142</v>
      </c>
      <c r="P143" s="50">
        <v>2000</v>
      </c>
      <c r="Q143" s="50">
        <v>1000</v>
      </c>
      <c r="R143" s="50">
        <v>1</v>
      </c>
      <c r="S143" s="50">
        <v>1</v>
      </c>
      <c r="T143" s="50">
        <v>1</v>
      </c>
      <c r="U143" s="50">
        <v>1</v>
      </c>
      <c r="V143" s="50">
        <v>1</v>
      </c>
      <c r="W143" s="50">
        <v>1</v>
      </c>
    </row>
    <row r="144" spans="1:23">
      <c r="A144">
        <v>143</v>
      </c>
      <c r="P144" s="50">
        <v>2000</v>
      </c>
      <c r="Q144" s="50">
        <v>1000</v>
      </c>
      <c r="R144" s="50">
        <v>1</v>
      </c>
      <c r="S144" s="50">
        <v>1</v>
      </c>
      <c r="T144" s="50">
        <v>1</v>
      </c>
      <c r="U144" s="50">
        <v>1</v>
      </c>
      <c r="V144" s="50">
        <v>1</v>
      </c>
      <c r="W144" s="50">
        <v>1</v>
      </c>
    </row>
    <row r="145" spans="5:5">
      <c r="E145" s="43"/>
    </row>
    <row r="146" spans="5:5">
      <c r="E146" s="43"/>
    </row>
    <row r="147" spans="5:5">
      <c r="E147" s="43"/>
    </row>
    <row r="148" spans="5:5">
      <c r="E148" s="43"/>
    </row>
    <row r="149" spans="5:5">
      <c r="E149" s="43"/>
    </row>
    <row r="150" spans="5:5">
      <c r="E150" s="43"/>
    </row>
    <row r="151" spans="5:5">
      <c r="E151" s="43"/>
    </row>
    <row r="152" spans="5:5">
      <c r="E152" s="43"/>
    </row>
    <row r="153" spans="5:5">
      <c r="E153" s="43"/>
    </row>
    <row r="154" spans="5:5">
      <c r="E154" s="43"/>
    </row>
    <row r="155" spans="5:5">
      <c r="E155" s="43"/>
    </row>
    <row r="156" spans="5:5">
      <c r="E156" s="43"/>
    </row>
  </sheetData>
  <autoFilter ref="A1:N144" xr:uid="{C7924E66-8A52-5445-8882-3318A8373E1C}"/>
  <phoneticPr fontId="1"/>
  <conditionalFormatting sqref="I36:J36 L36:N36 I42:J42 L42:N42 I48:J48 L48:N48 L54:M54 M1:N1 I60:J60 L60 I66:J66 L66 L71 I77:J77 L77 I7:J7 N49 G1:H1048576 I1:J1">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S121"/>
  <sheetViews>
    <sheetView workbookViewId="0">
      <selection activeCell="I24" sqref="I24"/>
    </sheetView>
  </sheetViews>
  <sheetFormatPr baseColWidth="10" defaultRowHeight="20"/>
  <cols>
    <col min="1" max="16384" width="10.7109375" style="15"/>
  </cols>
  <sheetData>
    <row r="1" spans="1:19" ht="21">
      <c r="C1" s="15" t="s">
        <v>102</v>
      </c>
      <c r="I1" s="15" t="s">
        <v>121</v>
      </c>
    </row>
    <row r="2" spans="1:19" ht="21">
      <c r="A2" s="15" t="s">
        <v>0</v>
      </c>
      <c r="B2" s="15" t="s">
        <v>8</v>
      </c>
      <c r="C2" s="15" t="s">
        <v>193</v>
      </c>
      <c r="D2" s="15" t="s">
        <v>195</v>
      </c>
      <c r="E2" s="15" t="s">
        <v>194</v>
      </c>
      <c r="F2" s="15" t="s">
        <v>196</v>
      </c>
      <c r="G2" s="15" t="s">
        <v>197</v>
      </c>
      <c r="H2" s="15" t="s">
        <v>198</v>
      </c>
      <c r="I2" s="15" t="s">
        <v>199</v>
      </c>
      <c r="J2" s="15" t="s">
        <v>200</v>
      </c>
      <c r="K2" s="15" t="s">
        <v>201</v>
      </c>
      <c r="L2" s="15" t="s">
        <v>202</v>
      </c>
      <c r="M2" s="15" t="s">
        <v>203</v>
      </c>
      <c r="N2" s="15" t="s">
        <v>204</v>
      </c>
    </row>
    <row r="3" spans="1:19">
      <c r="A3" t="s">
        <v>100</v>
      </c>
      <c r="B3" t="s">
        <v>113</v>
      </c>
      <c r="C3" t="s">
        <v>168</v>
      </c>
      <c r="D3"/>
      <c r="E3" t="s">
        <v>168</v>
      </c>
      <c r="F3" t="s">
        <v>163</v>
      </c>
      <c r="G3" t="s">
        <v>168</v>
      </c>
      <c r="H3" t="s">
        <v>163</v>
      </c>
      <c r="I3" t="s">
        <v>140</v>
      </c>
      <c r="J3" t="s">
        <v>261</v>
      </c>
      <c r="K3" t="s">
        <v>140</v>
      </c>
      <c r="L3" t="s">
        <v>261</v>
      </c>
      <c r="M3" t="s">
        <v>140</v>
      </c>
      <c r="N3" t="s">
        <v>261</v>
      </c>
    </row>
    <row r="4" spans="1:19">
      <c r="A4" t="s">
        <v>100</v>
      </c>
      <c r="B4" t="s">
        <v>185</v>
      </c>
      <c r="C4" t="s">
        <v>172</v>
      </c>
      <c r="D4" t="s">
        <v>124</v>
      </c>
      <c r="E4" t="s">
        <v>172</v>
      </c>
      <c r="F4" t="s">
        <v>163</v>
      </c>
      <c r="G4" t="s">
        <v>172</v>
      </c>
      <c r="H4" t="s">
        <v>163</v>
      </c>
      <c r="I4" t="s">
        <v>129</v>
      </c>
      <c r="J4"/>
      <c r="K4" t="s">
        <v>129</v>
      </c>
      <c r="L4"/>
      <c r="M4" t="s">
        <v>129</v>
      </c>
      <c r="N4"/>
    </row>
    <row r="5" spans="1:19">
      <c r="A5" t="s">
        <v>100</v>
      </c>
      <c r="B5" t="s">
        <v>120</v>
      </c>
      <c r="C5" t="s">
        <v>135</v>
      </c>
      <c r="D5" t="s">
        <v>256</v>
      </c>
      <c r="E5" t="s">
        <v>135</v>
      </c>
      <c r="F5" t="s">
        <v>252</v>
      </c>
      <c r="G5" t="s">
        <v>135</v>
      </c>
      <c r="H5" t="s">
        <v>252</v>
      </c>
      <c r="I5" t="s">
        <v>140</v>
      </c>
      <c r="J5"/>
      <c r="K5" t="s">
        <v>140</v>
      </c>
      <c r="L5"/>
      <c r="M5" t="s">
        <v>140</v>
      </c>
      <c r="N5"/>
    </row>
    <row r="6" spans="1:19">
      <c r="A6" t="s">
        <v>100</v>
      </c>
      <c r="B6" t="s">
        <v>112</v>
      </c>
      <c r="C6" t="s">
        <v>168</v>
      </c>
      <c r="D6" t="s">
        <v>205</v>
      </c>
      <c r="E6" t="s">
        <v>122</v>
      </c>
      <c r="F6" t="s">
        <v>205</v>
      </c>
      <c r="G6" t="s">
        <v>122</v>
      </c>
      <c r="H6" t="s">
        <v>205</v>
      </c>
      <c r="I6" t="s">
        <v>129</v>
      </c>
      <c r="J6"/>
      <c r="K6" t="s">
        <v>129</v>
      </c>
      <c r="L6" t="s">
        <v>206</v>
      </c>
      <c r="M6" t="s">
        <v>129</v>
      </c>
      <c r="N6" t="s">
        <v>206</v>
      </c>
    </row>
    <row r="7" spans="1:19">
      <c r="A7" t="s">
        <v>100</v>
      </c>
      <c r="B7" t="s">
        <v>101</v>
      </c>
      <c r="C7" t="s">
        <v>122</v>
      </c>
      <c r="D7"/>
      <c r="E7" t="s">
        <v>122</v>
      </c>
      <c r="F7"/>
      <c r="G7" t="s">
        <v>170</v>
      </c>
      <c r="H7"/>
      <c r="I7" t="s">
        <v>169</v>
      </c>
      <c r="J7"/>
      <c r="K7" t="s">
        <v>169</v>
      </c>
      <c r="L7" t="s">
        <v>247</v>
      </c>
      <c r="M7" t="s">
        <v>170</v>
      </c>
      <c r="N7" t="s">
        <v>123</v>
      </c>
    </row>
    <row r="8" spans="1:19">
      <c r="A8" t="s">
        <v>100</v>
      </c>
      <c r="B8" t="s">
        <v>68</v>
      </c>
      <c r="C8" t="s">
        <v>172</v>
      </c>
      <c r="D8" t="s">
        <v>206</v>
      </c>
      <c r="E8" t="s">
        <v>172</v>
      </c>
      <c r="F8" t="s">
        <v>206</v>
      </c>
      <c r="G8" t="s">
        <v>172</v>
      </c>
      <c r="H8" t="s">
        <v>205</v>
      </c>
      <c r="I8" t="s">
        <v>168</v>
      </c>
      <c r="J8"/>
      <c r="K8" t="s">
        <v>168</v>
      </c>
      <c r="L8" t="s">
        <v>183</v>
      </c>
      <c r="M8" t="s">
        <v>168</v>
      </c>
      <c r="N8" t="s">
        <v>184</v>
      </c>
    </row>
    <row r="9" spans="1:19">
      <c r="A9" t="s">
        <v>98</v>
      </c>
      <c r="B9" t="s">
        <v>113</v>
      </c>
      <c r="C9" t="s">
        <v>172</v>
      </c>
      <c r="D9" t="s">
        <v>206</v>
      </c>
      <c r="E9" t="s">
        <v>172</v>
      </c>
      <c r="F9" t="s">
        <v>163</v>
      </c>
      <c r="G9" t="s">
        <v>172</v>
      </c>
      <c r="H9" t="s">
        <v>163</v>
      </c>
      <c r="I9" t="s">
        <v>122</v>
      </c>
      <c r="J9"/>
      <c r="K9" t="s">
        <v>122</v>
      </c>
      <c r="L9"/>
      <c r="M9" t="s">
        <v>122</v>
      </c>
      <c r="N9"/>
    </row>
    <row r="10" spans="1:19">
      <c r="A10" t="s">
        <v>98</v>
      </c>
      <c r="B10" t="s">
        <v>185</v>
      </c>
      <c r="C10" t="s">
        <v>174</v>
      </c>
      <c r="D10" t="s">
        <v>256</v>
      </c>
      <c r="E10" t="s">
        <v>174</v>
      </c>
      <c r="F10" t="s">
        <v>163</v>
      </c>
      <c r="G10" t="s">
        <v>174</v>
      </c>
      <c r="H10" t="s">
        <v>163</v>
      </c>
      <c r="I10" t="s">
        <v>133</v>
      </c>
      <c r="J10"/>
      <c r="K10" t="s">
        <v>133</v>
      </c>
      <c r="L10"/>
      <c r="M10" t="s">
        <v>133</v>
      </c>
      <c r="N10"/>
    </row>
    <row r="11" spans="1:19">
      <c r="A11" t="s">
        <v>98</v>
      </c>
      <c r="B11" t="s">
        <v>120</v>
      </c>
      <c r="C11" t="s">
        <v>128</v>
      </c>
      <c r="D11" t="s">
        <v>136</v>
      </c>
      <c r="E11" t="s">
        <v>128</v>
      </c>
      <c r="F11" t="s">
        <v>137</v>
      </c>
      <c r="G11" t="s">
        <v>128</v>
      </c>
      <c r="H11" t="s">
        <v>137</v>
      </c>
      <c r="I11" t="s">
        <v>129</v>
      </c>
      <c r="J11"/>
      <c r="K11" t="s">
        <v>129</v>
      </c>
      <c r="L11" t="s">
        <v>206</v>
      </c>
      <c r="M11" t="s">
        <v>129</v>
      </c>
      <c r="N11" t="s">
        <v>206</v>
      </c>
    </row>
    <row r="12" spans="1:19">
      <c r="A12" t="s">
        <v>98</v>
      </c>
      <c r="B12" t="s">
        <v>112</v>
      </c>
      <c r="C12" t="s">
        <v>133</v>
      </c>
      <c r="D12"/>
      <c r="E12" t="s">
        <v>133</v>
      </c>
      <c r="F12"/>
      <c r="G12" t="s">
        <v>133</v>
      </c>
      <c r="H12"/>
      <c r="I12" t="s">
        <v>169</v>
      </c>
      <c r="J12"/>
      <c r="K12" t="s">
        <v>170</v>
      </c>
      <c r="L12"/>
      <c r="M12" t="s">
        <v>170</v>
      </c>
      <c r="N12"/>
    </row>
    <row r="13" spans="1:19">
      <c r="A13" t="s">
        <v>98</v>
      </c>
      <c r="B13" t="s">
        <v>101</v>
      </c>
      <c r="C13" t="s">
        <v>122</v>
      </c>
      <c r="D13" t="s">
        <v>124</v>
      </c>
      <c r="E13" t="s">
        <v>122</v>
      </c>
      <c r="F13" t="s">
        <v>124</v>
      </c>
      <c r="G13" t="s">
        <v>122</v>
      </c>
      <c r="H13" t="s">
        <v>207</v>
      </c>
      <c r="I13" t="s">
        <v>140</v>
      </c>
      <c r="J13"/>
      <c r="K13" t="s">
        <v>140</v>
      </c>
      <c r="L13" t="s">
        <v>125</v>
      </c>
      <c r="M13" t="s">
        <v>171</v>
      </c>
      <c r="N13" t="s">
        <v>126</v>
      </c>
    </row>
    <row r="14" spans="1:19">
      <c r="A14" t="s">
        <v>98</v>
      </c>
      <c r="B14" t="s">
        <v>244</v>
      </c>
      <c r="C14" t="s">
        <v>135</v>
      </c>
      <c r="D14" t="s">
        <v>264</v>
      </c>
      <c r="E14" t="s">
        <v>135</v>
      </c>
      <c r="F14" t="s">
        <v>163</v>
      </c>
      <c r="G14" t="s">
        <v>135</v>
      </c>
      <c r="H14" t="s">
        <v>265</v>
      </c>
      <c r="I14" t="s">
        <v>169</v>
      </c>
      <c r="J14"/>
      <c r="K14" t="s">
        <v>169</v>
      </c>
      <c r="L14" t="s">
        <v>260</v>
      </c>
      <c r="M14" t="s">
        <v>170</v>
      </c>
      <c r="N14" t="s">
        <v>260</v>
      </c>
    </row>
    <row r="15" spans="1:19" ht="20" customHeight="1">
      <c r="A15" t="s">
        <v>98</v>
      </c>
      <c r="B15" t="s">
        <v>68</v>
      </c>
      <c r="C15" t="s">
        <v>122</v>
      </c>
      <c r="D15"/>
      <c r="E15" t="s">
        <v>122</v>
      </c>
      <c r="F15"/>
      <c r="G15" t="s">
        <v>170</v>
      </c>
      <c r="H15"/>
      <c r="I15" t="s">
        <v>129</v>
      </c>
      <c r="J15"/>
      <c r="K15" t="s">
        <v>129</v>
      </c>
      <c r="L15" t="s">
        <v>148</v>
      </c>
      <c r="M15" t="s">
        <v>131</v>
      </c>
      <c r="N15" t="s">
        <v>149</v>
      </c>
      <c r="P15" s="45"/>
      <c r="Q15" s="44"/>
      <c r="R15" s="37"/>
      <c r="S15"/>
    </row>
    <row r="16" spans="1:19" ht="20" customHeight="1">
      <c r="A16" t="s">
        <v>127</v>
      </c>
      <c r="B16" t="s">
        <v>113</v>
      </c>
      <c r="C16" t="s">
        <v>168</v>
      </c>
      <c r="D16" t="s">
        <v>124</v>
      </c>
      <c r="E16" t="s">
        <v>168</v>
      </c>
      <c r="F16" t="s">
        <v>163</v>
      </c>
      <c r="G16" t="s">
        <v>168</v>
      </c>
      <c r="H16" t="s">
        <v>163</v>
      </c>
      <c r="I16" t="s">
        <v>140</v>
      </c>
      <c r="J16"/>
      <c r="K16" t="s">
        <v>140</v>
      </c>
      <c r="L16"/>
      <c r="M16" t="s">
        <v>140</v>
      </c>
      <c r="N16"/>
      <c r="P16" s="45"/>
      <c r="Q16" s="44"/>
      <c r="R16" s="37"/>
      <c r="S16"/>
    </row>
    <row r="17" spans="1:19" ht="20" customHeight="1">
      <c r="A17" t="s">
        <v>127</v>
      </c>
      <c r="B17" t="s">
        <v>185</v>
      </c>
      <c r="C17" t="s">
        <v>174</v>
      </c>
      <c r="D17"/>
      <c r="E17" t="s">
        <v>174</v>
      </c>
      <c r="F17" t="s">
        <v>163</v>
      </c>
      <c r="G17" t="s">
        <v>174</v>
      </c>
      <c r="H17" t="s">
        <v>163</v>
      </c>
      <c r="I17" t="s">
        <v>140</v>
      </c>
      <c r="J17"/>
      <c r="K17" t="s">
        <v>140</v>
      </c>
      <c r="L17"/>
      <c r="M17" t="s">
        <v>140</v>
      </c>
      <c r="N17"/>
      <c r="P17" s="45"/>
      <c r="Q17" s="44"/>
      <c r="R17" s="37"/>
      <c r="S17"/>
    </row>
    <row r="18" spans="1:19" ht="20" customHeight="1">
      <c r="A18" t="s">
        <v>127</v>
      </c>
      <c r="B18" t="s">
        <v>120</v>
      </c>
      <c r="C18" t="s">
        <v>128</v>
      </c>
      <c r="D18" t="s">
        <v>248</v>
      </c>
      <c r="E18" t="s">
        <v>128</v>
      </c>
      <c r="F18" t="s">
        <v>254</v>
      </c>
      <c r="G18" t="s">
        <v>128</v>
      </c>
      <c r="H18" t="s">
        <v>254</v>
      </c>
      <c r="I18" t="s">
        <v>140</v>
      </c>
      <c r="J18"/>
      <c r="K18" t="s">
        <v>140</v>
      </c>
      <c r="L18"/>
      <c r="M18" t="s">
        <v>140</v>
      </c>
      <c r="N18"/>
      <c r="P18" s="38"/>
      <c r="Q18" s="37"/>
      <c r="R18"/>
      <c r="S18"/>
    </row>
    <row r="19" spans="1:19" ht="20" customHeight="1">
      <c r="A19" t="s">
        <v>127</v>
      </c>
      <c r="B19" t="s">
        <v>112</v>
      </c>
      <c r="C19" t="s">
        <v>135</v>
      </c>
      <c r="D19"/>
      <c r="E19" t="s">
        <v>135</v>
      </c>
      <c r="F19"/>
      <c r="G19" t="s">
        <v>135</v>
      </c>
      <c r="H19"/>
      <c r="I19" t="s">
        <v>169</v>
      </c>
      <c r="J19"/>
      <c r="K19" t="s">
        <v>170</v>
      </c>
      <c r="L19"/>
      <c r="M19" t="s">
        <v>170</v>
      </c>
      <c r="N19"/>
      <c r="P19" s="44"/>
      <c r="Q19" s="37"/>
      <c r="R19"/>
      <c r="S19"/>
    </row>
    <row r="20" spans="1:19" ht="20" customHeight="1">
      <c r="A20" t="s">
        <v>127</v>
      </c>
      <c r="B20" t="s">
        <v>101</v>
      </c>
      <c r="C20" t="s">
        <v>128</v>
      </c>
      <c r="D20" t="s">
        <v>124</v>
      </c>
      <c r="E20" t="s">
        <v>128</v>
      </c>
      <c r="F20" t="s">
        <v>207</v>
      </c>
      <c r="G20" t="s">
        <v>128</v>
      </c>
      <c r="H20" t="s">
        <v>208</v>
      </c>
      <c r="I20" t="s">
        <v>129</v>
      </c>
      <c r="J20"/>
      <c r="K20" t="s">
        <v>129</v>
      </c>
      <c r="L20" t="s">
        <v>130</v>
      </c>
      <c r="M20" t="s">
        <v>131</v>
      </c>
      <c r="N20" t="s">
        <v>132</v>
      </c>
      <c r="P20" s="44"/>
      <c r="Q20" s="37"/>
      <c r="R20"/>
      <c r="S20"/>
    </row>
    <row r="21" spans="1:19" ht="20" customHeight="1">
      <c r="A21" t="s">
        <v>127</v>
      </c>
      <c r="B21" t="s">
        <v>245</v>
      </c>
      <c r="C21" t="s">
        <v>135</v>
      </c>
      <c r="D21" t="s">
        <v>256</v>
      </c>
      <c r="E21" t="s">
        <v>135</v>
      </c>
      <c r="F21" t="s">
        <v>257</v>
      </c>
      <c r="G21" t="s">
        <v>135</v>
      </c>
      <c r="H21" t="s">
        <v>258</v>
      </c>
      <c r="I21" t="s">
        <v>140</v>
      </c>
      <c r="J21"/>
      <c r="K21" t="s">
        <v>140</v>
      </c>
      <c r="L21" t="s">
        <v>240</v>
      </c>
      <c r="M21" t="s">
        <v>171</v>
      </c>
      <c r="N21" t="s">
        <v>240</v>
      </c>
      <c r="P21" s="44"/>
      <c r="Q21" s="37"/>
      <c r="R21"/>
      <c r="S21"/>
    </row>
    <row r="22" spans="1:19" ht="20" customHeight="1">
      <c r="A22" t="s">
        <v>118</v>
      </c>
      <c r="B22" t="s">
        <v>113</v>
      </c>
      <c r="C22" t="s">
        <v>172</v>
      </c>
      <c r="D22" t="s">
        <v>256</v>
      </c>
      <c r="E22" t="s">
        <v>172</v>
      </c>
      <c r="F22" t="s">
        <v>163</v>
      </c>
      <c r="G22" t="s">
        <v>172</v>
      </c>
      <c r="H22" t="s">
        <v>163</v>
      </c>
      <c r="I22" t="s">
        <v>122</v>
      </c>
      <c r="J22"/>
      <c r="K22" t="s">
        <v>122</v>
      </c>
      <c r="L22"/>
      <c r="M22" t="s">
        <v>122</v>
      </c>
      <c r="N22"/>
      <c r="P22" s="39"/>
      <c r="Q22"/>
      <c r="R22"/>
      <c r="S22"/>
    </row>
    <row r="23" spans="1:19" ht="20" customHeight="1">
      <c r="A23" t="s">
        <v>118</v>
      </c>
      <c r="B23" t="s">
        <v>185</v>
      </c>
      <c r="C23" t="s">
        <v>174</v>
      </c>
      <c r="D23"/>
      <c r="E23" t="s">
        <v>174</v>
      </c>
      <c r="F23" t="s">
        <v>163</v>
      </c>
      <c r="G23" t="s">
        <v>174</v>
      </c>
      <c r="H23" t="s">
        <v>163</v>
      </c>
      <c r="I23" t="s">
        <v>169</v>
      </c>
      <c r="J23"/>
      <c r="K23" t="s">
        <v>169</v>
      </c>
      <c r="L23"/>
      <c r="M23" t="s">
        <v>169</v>
      </c>
      <c r="N23"/>
      <c r="P23" s="40"/>
      <c r="Q23"/>
      <c r="R23"/>
      <c r="S23"/>
    </row>
    <row r="24" spans="1:19" ht="20" customHeight="1">
      <c r="A24" t="s">
        <v>118</v>
      </c>
      <c r="B24" t="s">
        <v>120</v>
      </c>
      <c r="C24" t="s">
        <v>135</v>
      </c>
      <c r="D24"/>
      <c r="E24" t="s">
        <v>135</v>
      </c>
      <c r="F24"/>
      <c r="G24" t="s">
        <v>135</v>
      </c>
      <c r="H24"/>
      <c r="I24" t="s">
        <v>140</v>
      </c>
      <c r="J24"/>
      <c r="K24" t="s">
        <v>171</v>
      </c>
      <c r="L24"/>
      <c r="M24" t="s">
        <v>171</v>
      </c>
      <c r="N24"/>
      <c r="P24" s="40"/>
      <c r="Q24"/>
      <c r="R24"/>
      <c r="S24"/>
    </row>
    <row r="25" spans="1:19" ht="20" customHeight="1">
      <c r="A25" t="s">
        <v>118</v>
      </c>
      <c r="B25" t="s">
        <v>112</v>
      </c>
      <c r="C25" t="s">
        <v>122</v>
      </c>
      <c r="D25" t="s">
        <v>124</v>
      </c>
      <c r="E25" t="s">
        <v>122</v>
      </c>
      <c r="F25" t="s">
        <v>124</v>
      </c>
      <c r="G25" t="s">
        <v>122</v>
      </c>
      <c r="H25" t="s">
        <v>124</v>
      </c>
      <c r="I25" t="s">
        <v>140</v>
      </c>
      <c r="J25"/>
      <c r="K25" t="s">
        <v>140</v>
      </c>
      <c r="L25"/>
      <c r="M25" t="s">
        <v>140</v>
      </c>
      <c r="N25"/>
      <c r="P25" s="38"/>
      <c r="Q25" s="38"/>
      <c r="R25" s="38"/>
      <c r="S25"/>
    </row>
    <row r="26" spans="1:19">
      <c r="A26" t="s">
        <v>118</v>
      </c>
      <c r="B26" t="s">
        <v>101</v>
      </c>
      <c r="C26" t="s">
        <v>133</v>
      </c>
      <c r="D26" t="s">
        <v>248</v>
      </c>
      <c r="E26" t="s">
        <v>133</v>
      </c>
      <c r="F26" t="s">
        <v>249</v>
      </c>
      <c r="G26" t="s">
        <v>133</v>
      </c>
      <c r="H26" t="s">
        <v>250</v>
      </c>
      <c r="I26" t="s">
        <v>169</v>
      </c>
      <c r="J26"/>
      <c r="K26" t="s">
        <v>169</v>
      </c>
      <c r="L26" t="s">
        <v>134</v>
      </c>
      <c r="M26" t="s">
        <v>170</v>
      </c>
      <c r="N26" t="s">
        <v>134</v>
      </c>
      <c r="P26" s="44"/>
      <c r="Q26" s="45"/>
      <c r="R26" s="44"/>
      <c r="S26" s="37"/>
    </row>
    <row r="27" spans="1:19">
      <c r="A27" t="s">
        <v>118</v>
      </c>
      <c r="B27" t="s">
        <v>162</v>
      </c>
      <c r="C27" t="s">
        <v>168</v>
      </c>
      <c r="D27" t="s">
        <v>248</v>
      </c>
      <c r="E27" t="s">
        <v>168</v>
      </c>
      <c r="F27" t="s">
        <v>163</v>
      </c>
      <c r="G27" t="s">
        <v>168</v>
      </c>
      <c r="H27" t="s">
        <v>163</v>
      </c>
      <c r="I27" t="s">
        <v>129</v>
      </c>
      <c r="J27"/>
      <c r="K27" t="s">
        <v>129</v>
      </c>
      <c r="L27"/>
      <c r="M27" t="s">
        <v>129</v>
      </c>
      <c r="N27"/>
      <c r="P27" s="44"/>
      <c r="Q27" s="45"/>
      <c r="R27" s="44"/>
      <c r="S27" s="37"/>
    </row>
    <row r="28" spans="1:19">
      <c r="A28" t="s">
        <v>114</v>
      </c>
      <c r="B28" t="s">
        <v>113</v>
      </c>
      <c r="C28" t="s">
        <v>172</v>
      </c>
      <c r="D28" t="s">
        <v>124</v>
      </c>
      <c r="E28" t="s">
        <v>172</v>
      </c>
      <c r="F28" t="s">
        <v>207</v>
      </c>
      <c r="G28" t="s">
        <v>172</v>
      </c>
      <c r="H28" t="s">
        <v>207</v>
      </c>
      <c r="I28" t="s">
        <v>169</v>
      </c>
      <c r="J28"/>
      <c r="K28" t="s">
        <v>169</v>
      </c>
      <c r="L28"/>
      <c r="M28" t="s">
        <v>169</v>
      </c>
      <c r="N28"/>
      <c r="P28" s="44"/>
      <c r="Q28" s="37"/>
      <c r="R28"/>
      <c r="S28"/>
    </row>
    <row r="29" spans="1:19">
      <c r="A29" t="s">
        <v>114</v>
      </c>
      <c r="B29" t="s">
        <v>185</v>
      </c>
      <c r="C29" t="s">
        <v>168</v>
      </c>
      <c r="D29" t="s">
        <v>186</v>
      </c>
      <c r="E29" t="s">
        <v>168</v>
      </c>
      <c r="F29" t="s">
        <v>163</v>
      </c>
      <c r="G29" t="s">
        <v>168</v>
      </c>
      <c r="H29" t="s">
        <v>163</v>
      </c>
      <c r="I29" t="s">
        <v>129</v>
      </c>
      <c r="J29"/>
      <c r="K29" t="s">
        <v>129</v>
      </c>
      <c r="L29"/>
      <c r="M29" t="s">
        <v>129</v>
      </c>
      <c r="N29"/>
      <c r="P29" s="44"/>
      <c r="Q29" s="37"/>
      <c r="R29"/>
      <c r="S29"/>
    </row>
    <row r="30" spans="1:19">
      <c r="A30" t="s">
        <v>114</v>
      </c>
      <c r="B30" t="s">
        <v>120</v>
      </c>
      <c r="C30" t="s">
        <v>135</v>
      </c>
      <c r="D30"/>
      <c r="E30" t="s">
        <v>135</v>
      </c>
      <c r="F30"/>
      <c r="G30" t="s">
        <v>135</v>
      </c>
      <c r="H30"/>
      <c r="I30" t="s">
        <v>169</v>
      </c>
      <c r="J30"/>
      <c r="K30" t="s">
        <v>169</v>
      </c>
      <c r="L30"/>
      <c r="M30" t="s">
        <v>170</v>
      </c>
      <c r="N30"/>
      <c r="P30" s="44"/>
      <c r="Q30" s="37"/>
      <c r="R30"/>
      <c r="S30"/>
    </row>
    <row r="31" spans="1:19">
      <c r="A31" t="s">
        <v>114</v>
      </c>
      <c r="B31" t="s">
        <v>112</v>
      </c>
      <c r="C31" t="s">
        <v>172</v>
      </c>
      <c r="D31" t="s">
        <v>207</v>
      </c>
      <c r="E31" t="s">
        <v>133</v>
      </c>
      <c r="F31" t="s">
        <v>209</v>
      </c>
      <c r="G31" t="s">
        <v>133</v>
      </c>
      <c r="H31" t="s">
        <v>209</v>
      </c>
      <c r="I31" t="s">
        <v>173</v>
      </c>
      <c r="J31"/>
      <c r="K31" t="s">
        <v>173</v>
      </c>
      <c r="L31" t="s">
        <v>210</v>
      </c>
      <c r="M31" t="s">
        <v>173</v>
      </c>
      <c r="N31" t="s">
        <v>210</v>
      </c>
      <c r="P31" s="45"/>
      <c r="Q31" s="44"/>
      <c r="R31" s="37"/>
      <c r="S31"/>
    </row>
    <row r="32" spans="1:19">
      <c r="A32" t="s">
        <v>114</v>
      </c>
      <c r="B32" t="s">
        <v>101</v>
      </c>
      <c r="C32" t="s">
        <v>135</v>
      </c>
      <c r="D32" t="s">
        <v>136</v>
      </c>
      <c r="E32" t="s">
        <v>135</v>
      </c>
      <c r="F32" t="s">
        <v>137</v>
      </c>
      <c r="G32" t="s">
        <v>135</v>
      </c>
      <c r="H32" t="s">
        <v>137</v>
      </c>
      <c r="I32" t="s">
        <v>140</v>
      </c>
      <c r="J32"/>
      <c r="K32" t="s">
        <v>140</v>
      </c>
      <c r="L32" t="s">
        <v>138</v>
      </c>
      <c r="M32" t="s">
        <v>171</v>
      </c>
      <c r="N32" t="s">
        <v>139</v>
      </c>
      <c r="P32" s="45"/>
      <c r="Q32" s="44"/>
      <c r="R32" s="37"/>
      <c r="S32"/>
    </row>
    <row r="33" spans="1:14">
      <c r="A33" t="s">
        <v>114</v>
      </c>
      <c r="B33" t="s">
        <v>245</v>
      </c>
      <c r="C33" t="s">
        <v>168</v>
      </c>
      <c r="D33"/>
      <c r="E33" t="s">
        <v>168</v>
      </c>
      <c r="F33" t="s">
        <v>206</v>
      </c>
      <c r="G33" t="s">
        <v>168</v>
      </c>
      <c r="H33" t="s">
        <v>206</v>
      </c>
      <c r="I33" t="s">
        <v>173</v>
      </c>
      <c r="J33"/>
      <c r="K33" t="s">
        <v>173</v>
      </c>
      <c r="L33" t="s">
        <v>266</v>
      </c>
      <c r="M33" t="s">
        <v>173</v>
      </c>
      <c r="N33" t="s">
        <v>266</v>
      </c>
    </row>
    <row r="34" spans="1:14">
      <c r="A34" t="s">
        <v>109</v>
      </c>
      <c r="B34" t="s">
        <v>113</v>
      </c>
      <c r="C34" t="s">
        <v>172</v>
      </c>
      <c r="D34"/>
      <c r="E34" t="s">
        <v>172</v>
      </c>
      <c r="F34" t="s">
        <v>163</v>
      </c>
      <c r="G34" t="s">
        <v>172</v>
      </c>
      <c r="H34" t="s">
        <v>163</v>
      </c>
      <c r="I34" t="s">
        <v>169</v>
      </c>
      <c r="J34"/>
      <c r="K34" t="s">
        <v>169</v>
      </c>
      <c r="L34"/>
      <c r="M34" t="s">
        <v>169</v>
      </c>
      <c r="N34"/>
    </row>
    <row r="35" spans="1:14">
      <c r="A35" t="s">
        <v>109</v>
      </c>
      <c r="B35" t="s">
        <v>185</v>
      </c>
      <c r="C35" t="s">
        <v>168</v>
      </c>
      <c r="D35" t="s">
        <v>206</v>
      </c>
      <c r="E35" t="s">
        <v>168</v>
      </c>
      <c r="F35" t="s">
        <v>163</v>
      </c>
      <c r="G35" t="s">
        <v>168</v>
      </c>
      <c r="H35" t="s">
        <v>163</v>
      </c>
      <c r="I35" t="s">
        <v>135</v>
      </c>
      <c r="J35"/>
      <c r="K35" t="s">
        <v>135</v>
      </c>
      <c r="L35"/>
      <c r="M35" t="s">
        <v>135</v>
      </c>
      <c r="N35"/>
    </row>
    <row r="36" spans="1:14">
      <c r="A36" t="s">
        <v>109</v>
      </c>
      <c r="B36" t="s">
        <v>120</v>
      </c>
      <c r="C36" t="s">
        <v>174</v>
      </c>
      <c r="D36" t="s">
        <v>211</v>
      </c>
      <c r="E36" t="s">
        <v>174</v>
      </c>
      <c r="F36" t="s">
        <v>257</v>
      </c>
      <c r="G36" t="s">
        <v>174</v>
      </c>
      <c r="H36" t="s">
        <v>257</v>
      </c>
      <c r="I36" t="s">
        <v>169</v>
      </c>
      <c r="J36"/>
      <c r="K36" t="s">
        <v>169</v>
      </c>
      <c r="L36" t="s">
        <v>256</v>
      </c>
      <c r="M36" t="s">
        <v>169</v>
      </c>
      <c r="N36" t="s">
        <v>256</v>
      </c>
    </row>
    <row r="37" spans="1:14">
      <c r="A37" t="s">
        <v>109</v>
      </c>
      <c r="B37" t="s">
        <v>112</v>
      </c>
      <c r="C37" t="s">
        <v>133</v>
      </c>
      <c r="D37" t="s">
        <v>206</v>
      </c>
      <c r="E37" t="s">
        <v>133</v>
      </c>
      <c r="F37" t="s">
        <v>206</v>
      </c>
      <c r="G37" t="s">
        <v>133</v>
      </c>
      <c r="H37" t="s">
        <v>206</v>
      </c>
      <c r="I37" t="s">
        <v>129</v>
      </c>
      <c r="J37"/>
      <c r="K37" t="s">
        <v>129</v>
      </c>
      <c r="L37"/>
      <c r="M37" t="s">
        <v>129</v>
      </c>
      <c r="N37"/>
    </row>
    <row r="38" spans="1:14">
      <c r="A38" t="s">
        <v>109</v>
      </c>
      <c r="B38" t="s">
        <v>101</v>
      </c>
      <c r="C38" t="s">
        <v>133</v>
      </c>
      <c r="D38"/>
      <c r="E38" t="s">
        <v>133</v>
      </c>
      <c r="F38"/>
      <c r="G38" t="s">
        <v>171</v>
      </c>
      <c r="H38"/>
      <c r="I38" t="s">
        <v>140</v>
      </c>
      <c r="J38"/>
      <c r="K38" t="s">
        <v>140</v>
      </c>
      <c r="L38" t="s">
        <v>141</v>
      </c>
      <c r="M38" t="s">
        <v>171</v>
      </c>
      <c r="N38" t="s">
        <v>142</v>
      </c>
    </row>
    <row r="39" spans="1:14">
      <c r="A39" t="s">
        <v>109</v>
      </c>
      <c r="B39" t="s">
        <v>164</v>
      </c>
      <c r="C39" t="s">
        <v>133</v>
      </c>
      <c r="D39" t="s">
        <v>165</v>
      </c>
      <c r="E39" t="s">
        <v>133</v>
      </c>
      <c r="F39" t="s">
        <v>166</v>
      </c>
      <c r="G39" t="s">
        <v>133</v>
      </c>
      <c r="H39" t="s">
        <v>167</v>
      </c>
      <c r="I39" t="s">
        <v>129</v>
      </c>
      <c r="J39"/>
      <c r="K39" t="s">
        <v>129</v>
      </c>
      <c r="L39" t="s">
        <v>160</v>
      </c>
      <c r="M39" t="s">
        <v>131</v>
      </c>
      <c r="N39" t="s">
        <v>161</v>
      </c>
    </row>
    <row r="40" spans="1:14">
      <c r="A40" t="s">
        <v>143</v>
      </c>
      <c r="B40" t="s">
        <v>113</v>
      </c>
      <c r="C40" t="s">
        <v>174</v>
      </c>
      <c r="D40" t="s">
        <v>124</v>
      </c>
      <c r="E40" t="s">
        <v>174</v>
      </c>
      <c r="F40" t="s">
        <v>163</v>
      </c>
      <c r="G40" t="s">
        <v>174</v>
      </c>
      <c r="H40" t="s">
        <v>163</v>
      </c>
      <c r="I40" t="s">
        <v>140</v>
      </c>
      <c r="J40"/>
      <c r="K40" t="s">
        <v>140</v>
      </c>
      <c r="L40"/>
      <c r="M40" t="s">
        <v>140</v>
      </c>
      <c r="N40"/>
    </row>
    <row r="41" spans="1:14">
      <c r="A41" t="s">
        <v>143</v>
      </c>
      <c r="B41" t="s">
        <v>185</v>
      </c>
      <c r="C41" t="s">
        <v>172</v>
      </c>
      <c r="D41" t="s">
        <v>248</v>
      </c>
      <c r="E41" t="s">
        <v>172</v>
      </c>
      <c r="F41" t="s">
        <v>163</v>
      </c>
      <c r="G41" t="s">
        <v>172</v>
      </c>
      <c r="H41" t="s">
        <v>163</v>
      </c>
      <c r="I41" t="s">
        <v>169</v>
      </c>
      <c r="J41"/>
      <c r="K41" t="s">
        <v>169</v>
      </c>
      <c r="L41"/>
      <c r="M41" t="s">
        <v>169</v>
      </c>
      <c r="N41"/>
    </row>
    <row r="42" spans="1:14">
      <c r="A42" t="s">
        <v>143</v>
      </c>
      <c r="B42" t="s">
        <v>120</v>
      </c>
      <c r="C42" t="s">
        <v>128</v>
      </c>
      <c r="D42" t="s">
        <v>136</v>
      </c>
      <c r="E42" t="s">
        <v>128</v>
      </c>
      <c r="F42" t="s">
        <v>137</v>
      </c>
      <c r="G42" t="s">
        <v>128</v>
      </c>
      <c r="H42" t="s">
        <v>137</v>
      </c>
      <c r="I42" t="s">
        <v>169</v>
      </c>
      <c r="J42"/>
      <c r="K42" t="s">
        <v>169</v>
      </c>
      <c r="L42" t="s">
        <v>206</v>
      </c>
      <c r="M42" t="s">
        <v>169</v>
      </c>
      <c r="N42" t="s">
        <v>206</v>
      </c>
    </row>
    <row r="43" spans="1:14">
      <c r="A43" t="s">
        <v>143</v>
      </c>
      <c r="B43" t="s">
        <v>112</v>
      </c>
      <c r="C43" t="s">
        <v>135</v>
      </c>
      <c r="D43"/>
      <c r="E43" t="s">
        <v>135</v>
      </c>
      <c r="F43"/>
      <c r="G43" t="s">
        <v>135</v>
      </c>
      <c r="H43"/>
      <c r="I43" t="s">
        <v>140</v>
      </c>
      <c r="J43"/>
      <c r="K43" t="s">
        <v>140</v>
      </c>
      <c r="L43"/>
      <c r="M43" t="s">
        <v>140</v>
      </c>
      <c r="N43"/>
    </row>
    <row r="44" spans="1:14">
      <c r="A44" t="s">
        <v>143</v>
      </c>
      <c r="B44" t="s">
        <v>101</v>
      </c>
      <c r="C44" t="s">
        <v>122</v>
      </c>
      <c r="D44" t="s">
        <v>206</v>
      </c>
      <c r="E44" t="s">
        <v>122</v>
      </c>
      <c r="F44" t="s">
        <v>205</v>
      </c>
      <c r="G44" t="s">
        <v>122</v>
      </c>
      <c r="H44" t="s">
        <v>212</v>
      </c>
      <c r="I44" t="s">
        <v>140</v>
      </c>
      <c r="J44"/>
      <c r="K44" t="s">
        <v>140</v>
      </c>
      <c r="L44" t="s">
        <v>144</v>
      </c>
      <c r="M44" t="s">
        <v>140</v>
      </c>
      <c r="N44" t="s">
        <v>145</v>
      </c>
    </row>
    <row r="45" spans="1:14">
      <c r="A45" t="s">
        <v>143</v>
      </c>
      <c r="B45" t="s">
        <v>162</v>
      </c>
      <c r="C45" t="s">
        <v>172</v>
      </c>
      <c r="D45" t="s">
        <v>207</v>
      </c>
      <c r="E45" t="s">
        <v>133</v>
      </c>
      <c r="F45" t="s">
        <v>207</v>
      </c>
      <c r="G45" t="s">
        <v>133</v>
      </c>
      <c r="H45" t="s">
        <v>207</v>
      </c>
      <c r="I45" t="s">
        <v>129</v>
      </c>
      <c r="J45"/>
      <c r="K45" t="s">
        <v>129</v>
      </c>
      <c r="L45" t="s">
        <v>124</v>
      </c>
      <c r="M45" t="s">
        <v>129</v>
      </c>
      <c r="N45" t="s">
        <v>124</v>
      </c>
    </row>
    <row r="46" spans="1:14">
      <c r="A46" t="s">
        <v>104</v>
      </c>
      <c r="B46" t="s">
        <v>113</v>
      </c>
      <c r="C46" t="s">
        <v>172</v>
      </c>
      <c r="D46" t="s">
        <v>256</v>
      </c>
      <c r="E46" t="s">
        <v>172</v>
      </c>
      <c r="F46" t="s">
        <v>163</v>
      </c>
      <c r="G46" t="s">
        <v>172</v>
      </c>
      <c r="H46" t="s">
        <v>163</v>
      </c>
      <c r="I46" t="s">
        <v>135</v>
      </c>
      <c r="J46"/>
      <c r="K46" t="s">
        <v>135</v>
      </c>
      <c r="L46"/>
      <c r="M46" t="s">
        <v>135</v>
      </c>
      <c r="N46"/>
    </row>
    <row r="47" spans="1:14">
      <c r="A47" t="s">
        <v>104</v>
      </c>
      <c r="B47" t="s">
        <v>185</v>
      </c>
      <c r="C47" t="s">
        <v>174</v>
      </c>
      <c r="D47"/>
      <c r="E47" t="s">
        <v>174</v>
      </c>
      <c r="F47" t="s">
        <v>163</v>
      </c>
      <c r="G47" t="s">
        <v>174</v>
      </c>
      <c r="H47" t="s">
        <v>163</v>
      </c>
      <c r="I47" t="s">
        <v>169</v>
      </c>
      <c r="J47"/>
      <c r="K47" t="s">
        <v>169</v>
      </c>
      <c r="L47"/>
      <c r="M47" t="s">
        <v>169</v>
      </c>
      <c r="N47"/>
    </row>
    <row r="48" spans="1:14">
      <c r="A48" t="s">
        <v>104</v>
      </c>
      <c r="B48" t="s">
        <v>120</v>
      </c>
      <c r="C48" t="s">
        <v>168</v>
      </c>
      <c r="D48" t="s">
        <v>205</v>
      </c>
      <c r="E48" t="s">
        <v>168</v>
      </c>
      <c r="F48" t="s">
        <v>205</v>
      </c>
      <c r="G48" t="s">
        <v>168</v>
      </c>
      <c r="H48" t="s">
        <v>205</v>
      </c>
      <c r="I48" t="s">
        <v>129</v>
      </c>
      <c r="J48"/>
      <c r="K48" t="s">
        <v>129</v>
      </c>
      <c r="L48" t="s">
        <v>206</v>
      </c>
      <c r="M48" t="s">
        <v>129</v>
      </c>
      <c r="N48" t="s">
        <v>206</v>
      </c>
    </row>
    <row r="49" spans="1:14">
      <c r="A49" t="s">
        <v>104</v>
      </c>
      <c r="B49" t="s">
        <v>112</v>
      </c>
      <c r="C49" t="s">
        <v>133</v>
      </c>
      <c r="D49"/>
      <c r="E49" t="s">
        <v>133</v>
      </c>
      <c r="F49"/>
      <c r="G49" t="s">
        <v>133</v>
      </c>
      <c r="H49"/>
      <c r="I49" t="s">
        <v>169</v>
      </c>
      <c r="J49"/>
      <c r="K49" t="s">
        <v>169</v>
      </c>
      <c r="L49"/>
      <c r="M49" t="s">
        <v>169</v>
      </c>
      <c r="N49"/>
    </row>
    <row r="50" spans="1:14">
      <c r="A50" t="s">
        <v>104</v>
      </c>
      <c r="B50" t="s">
        <v>101</v>
      </c>
      <c r="C50" t="s">
        <v>128</v>
      </c>
      <c r="D50" t="s">
        <v>251</v>
      </c>
      <c r="E50" t="s">
        <v>128</v>
      </c>
      <c r="F50" t="s">
        <v>252</v>
      </c>
      <c r="G50" t="s">
        <v>128</v>
      </c>
      <c r="H50" t="s">
        <v>253</v>
      </c>
      <c r="I50" t="s">
        <v>129</v>
      </c>
      <c r="J50"/>
      <c r="K50" t="s">
        <v>129</v>
      </c>
      <c r="L50" t="s">
        <v>146</v>
      </c>
      <c r="M50" t="s">
        <v>131</v>
      </c>
      <c r="N50" t="s">
        <v>147</v>
      </c>
    </row>
    <row r="51" spans="1:14">
      <c r="A51" t="s">
        <v>104</v>
      </c>
      <c r="B51" t="s">
        <v>164</v>
      </c>
      <c r="C51" t="s">
        <v>180</v>
      </c>
      <c r="D51"/>
      <c r="E51" t="s">
        <v>180</v>
      </c>
      <c r="F51" t="s">
        <v>248</v>
      </c>
      <c r="G51" t="s">
        <v>180</v>
      </c>
      <c r="H51" t="s">
        <v>248</v>
      </c>
      <c r="I51" t="s">
        <v>140</v>
      </c>
      <c r="J51"/>
      <c r="K51" t="s">
        <v>140</v>
      </c>
      <c r="L51" t="s">
        <v>213</v>
      </c>
      <c r="M51" t="s">
        <v>140</v>
      </c>
      <c r="N51" t="s">
        <v>213</v>
      </c>
    </row>
    <row r="52" spans="1:14">
      <c r="A52" t="s">
        <v>103</v>
      </c>
      <c r="B52" t="s">
        <v>113</v>
      </c>
      <c r="C52" t="s">
        <v>174</v>
      </c>
      <c r="D52" t="s">
        <v>206</v>
      </c>
      <c r="E52" t="s">
        <v>174</v>
      </c>
      <c r="F52" t="s">
        <v>163</v>
      </c>
      <c r="G52" t="s">
        <v>174</v>
      </c>
      <c r="H52" t="s">
        <v>163</v>
      </c>
      <c r="I52" t="s">
        <v>122</v>
      </c>
      <c r="J52"/>
      <c r="K52" t="s">
        <v>122</v>
      </c>
      <c r="L52"/>
      <c r="M52" t="s">
        <v>122</v>
      </c>
      <c r="N52"/>
    </row>
    <row r="53" spans="1:14">
      <c r="A53" t="s">
        <v>103</v>
      </c>
      <c r="B53" t="s">
        <v>185</v>
      </c>
      <c r="C53" t="s">
        <v>168</v>
      </c>
      <c r="D53" t="s">
        <v>256</v>
      </c>
      <c r="E53" t="s">
        <v>168</v>
      </c>
      <c r="F53" t="s">
        <v>163</v>
      </c>
      <c r="G53" t="s">
        <v>168</v>
      </c>
      <c r="H53" t="s">
        <v>163</v>
      </c>
      <c r="I53" t="s">
        <v>133</v>
      </c>
      <c r="J53"/>
      <c r="K53" t="s">
        <v>133</v>
      </c>
      <c r="L53"/>
      <c r="M53" t="s">
        <v>133</v>
      </c>
      <c r="N53"/>
    </row>
    <row r="54" spans="1:14">
      <c r="A54" t="s">
        <v>103</v>
      </c>
      <c r="B54" t="s">
        <v>120</v>
      </c>
      <c r="C54" t="s">
        <v>133</v>
      </c>
      <c r="D54" t="s">
        <v>136</v>
      </c>
      <c r="E54" t="s">
        <v>133</v>
      </c>
      <c r="F54" t="s">
        <v>137</v>
      </c>
      <c r="G54" t="s">
        <v>133</v>
      </c>
      <c r="H54" t="s">
        <v>137</v>
      </c>
      <c r="I54" t="s">
        <v>169</v>
      </c>
      <c r="J54"/>
      <c r="K54" t="s">
        <v>169</v>
      </c>
      <c r="L54" t="s">
        <v>206</v>
      </c>
      <c r="M54" t="s">
        <v>169</v>
      </c>
      <c r="N54" t="s">
        <v>206</v>
      </c>
    </row>
    <row r="55" spans="1:14">
      <c r="A55" t="s">
        <v>103</v>
      </c>
      <c r="B55" t="s">
        <v>112</v>
      </c>
      <c r="C55" t="s">
        <v>128</v>
      </c>
      <c r="D55"/>
      <c r="E55" t="s">
        <v>128</v>
      </c>
      <c r="F55"/>
      <c r="G55" t="s">
        <v>128</v>
      </c>
      <c r="H55"/>
      <c r="I55" t="s">
        <v>140</v>
      </c>
      <c r="J55"/>
      <c r="K55" t="s">
        <v>140</v>
      </c>
      <c r="L55"/>
      <c r="M55" t="s">
        <v>140</v>
      </c>
      <c r="N55"/>
    </row>
    <row r="56" spans="1:14">
      <c r="A56" t="s">
        <v>103</v>
      </c>
      <c r="B56" t="s">
        <v>101</v>
      </c>
      <c r="C56" t="s">
        <v>135</v>
      </c>
      <c r="D56" t="s">
        <v>136</v>
      </c>
      <c r="E56" t="s">
        <v>135</v>
      </c>
      <c r="F56" t="s">
        <v>214</v>
      </c>
      <c r="G56" t="s">
        <v>135</v>
      </c>
      <c r="H56" t="s">
        <v>214</v>
      </c>
      <c r="I56" t="s">
        <v>129</v>
      </c>
      <c r="J56"/>
      <c r="K56" t="s">
        <v>129</v>
      </c>
      <c r="L56" t="s">
        <v>148</v>
      </c>
      <c r="M56" t="s">
        <v>131</v>
      </c>
      <c r="N56" t="s">
        <v>149</v>
      </c>
    </row>
    <row r="57" spans="1:14">
      <c r="A57" t="s">
        <v>103</v>
      </c>
      <c r="B57" t="s">
        <v>162</v>
      </c>
      <c r="C57" t="s">
        <v>128</v>
      </c>
      <c r="D57" t="s">
        <v>124</v>
      </c>
      <c r="E57" t="s">
        <v>128</v>
      </c>
      <c r="F57" t="s">
        <v>124</v>
      </c>
      <c r="G57" t="s">
        <v>128</v>
      </c>
      <c r="H57" t="s">
        <v>207</v>
      </c>
      <c r="I57" t="s">
        <v>140</v>
      </c>
      <c r="J57"/>
      <c r="K57" t="s">
        <v>140</v>
      </c>
      <c r="L57" t="s">
        <v>146</v>
      </c>
      <c r="M57" t="s">
        <v>140</v>
      </c>
      <c r="N57" t="s">
        <v>146</v>
      </c>
    </row>
    <row r="58" spans="1:14">
      <c r="A58" t="s">
        <v>150</v>
      </c>
      <c r="B58" t="s">
        <v>113</v>
      </c>
      <c r="C58" t="s">
        <v>168</v>
      </c>
      <c r="D58" t="s">
        <v>248</v>
      </c>
      <c r="E58" t="s">
        <v>168</v>
      </c>
      <c r="F58" t="s">
        <v>163</v>
      </c>
      <c r="G58" t="s">
        <v>168</v>
      </c>
      <c r="H58" t="s">
        <v>163</v>
      </c>
      <c r="I58" t="s">
        <v>129</v>
      </c>
      <c r="J58"/>
      <c r="K58" t="s">
        <v>129</v>
      </c>
      <c r="L58"/>
      <c r="M58" t="s">
        <v>129</v>
      </c>
      <c r="N58"/>
    </row>
    <row r="59" spans="1:14">
      <c r="A59" t="s">
        <v>150</v>
      </c>
      <c r="B59" t="s">
        <v>185</v>
      </c>
      <c r="C59" t="s">
        <v>172</v>
      </c>
      <c r="D59"/>
      <c r="E59" t="s">
        <v>172</v>
      </c>
      <c r="F59" t="s">
        <v>163</v>
      </c>
      <c r="G59" t="s">
        <v>172</v>
      </c>
      <c r="H59" t="s">
        <v>163</v>
      </c>
      <c r="I59" t="s">
        <v>129</v>
      </c>
      <c r="J59"/>
      <c r="K59" t="s">
        <v>129</v>
      </c>
      <c r="L59"/>
      <c r="M59" t="s">
        <v>129</v>
      </c>
      <c r="N59"/>
    </row>
    <row r="60" spans="1:14">
      <c r="A60" t="s">
        <v>150</v>
      </c>
      <c r="B60" t="s">
        <v>120</v>
      </c>
      <c r="C60" t="s">
        <v>135</v>
      </c>
      <c r="D60"/>
      <c r="E60" t="s">
        <v>135</v>
      </c>
      <c r="F60"/>
      <c r="G60" t="s">
        <v>135</v>
      </c>
      <c r="H60"/>
      <c r="I60" t="s">
        <v>140</v>
      </c>
      <c r="J60"/>
      <c r="K60" t="s">
        <v>140</v>
      </c>
      <c r="L60"/>
      <c r="M60" t="s">
        <v>140</v>
      </c>
      <c r="N60"/>
    </row>
    <row r="61" spans="1:14">
      <c r="A61" t="s">
        <v>150</v>
      </c>
      <c r="B61" t="s">
        <v>112</v>
      </c>
      <c r="C61" t="s">
        <v>168</v>
      </c>
      <c r="D61" t="s">
        <v>207</v>
      </c>
      <c r="E61" t="s">
        <v>168</v>
      </c>
      <c r="F61" t="s">
        <v>209</v>
      </c>
      <c r="G61" t="s">
        <v>168</v>
      </c>
      <c r="H61" t="s">
        <v>209</v>
      </c>
      <c r="I61" t="s">
        <v>173</v>
      </c>
      <c r="J61"/>
      <c r="K61" t="s">
        <v>173</v>
      </c>
      <c r="L61" t="s">
        <v>210</v>
      </c>
      <c r="M61" t="s">
        <v>173</v>
      </c>
      <c r="N61" t="s">
        <v>210</v>
      </c>
    </row>
    <row r="62" spans="1:14">
      <c r="A62" t="s">
        <v>150</v>
      </c>
      <c r="B62" t="s">
        <v>101</v>
      </c>
      <c r="C62" t="s">
        <v>135</v>
      </c>
      <c r="D62" t="s">
        <v>206</v>
      </c>
      <c r="E62" t="s">
        <v>135</v>
      </c>
      <c r="F62" t="s">
        <v>206</v>
      </c>
      <c r="G62" t="s">
        <v>135</v>
      </c>
      <c r="H62" t="s">
        <v>205</v>
      </c>
      <c r="I62" t="s">
        <v>169</v>
      </c>
      <c r="J62"/>
      <c r="K62" t="s">
        <v>169</v>
      </c>
      <c r="L62" t="s">
        <v>151</v>
      </c>
      <c r="M62" t="s">
        <v>169</v>
      </c>
      <c r="N62" t="s">
        <v>152</v>
      </c>
    </row>
    <row r="63" spans="1:14">
      <c r="A63" t="s">
        <v>150</v>
      </c>
      <c r="B63" t="s">
        <v>162</v>
      </c>
      <c r="C63" t="s">
        <v>122</v>
      </c>
      <c r="D63" t="s">
        <v>136</v>
      </c>
      <c r="E63" t="s">
        <v>122</v>
      </c>
      <c r="F63" t="s">
        <v>137</v>
      </c>
      <c r="G63" t="s">
        <v>122</v>
      </c>
      <c r="H63" t="s">
        <v>137</v>
      </c>
      <c r="I63" t="s">
        <v>140</v>
      </c>
      <c r="J63"/>
      <c r="K63" t="s">
        <v>140</v>
      </c>
      <c r="L63" t="s">
        <v>206</v>
      </c>
      <c r="M63" t="s">
        <v>140</v>
      </c>
      <c r="N63" t="s">
        <v>206</v>
      </c>
    </row>
    <row r="64" spans="1:14">
      <c r="A64" t="s">
        <v>115</v>
      </c>
      <c r="B64" t="s">
        <v>113</v>
      </c>
      <c r="C64" t="s">
        <v>172</v>
      </c>
      <c r="D64" t="s">
        <v>124</v>
      </c>
      <c r="E64" t="s">
        <v>172</v>
      </c>
      <c r="F64" t="s">
        <v>163</v>
      </c>
      <c r="G64" t="s">
        <v>172</v>
      </c>
      <c r="H64" t="s">
        <v>163</v>
      </c>
      <c r="I64" t="s">
        <v>129</v>
      </c>
      <c r="J64"/>
      <c r="K64" t="s">
        <v>129</v>
      </c>
      <c r="L64"/>
      <c r="M64" t="s">
        <v>129</v>
      </c>
      <c r="N64"/>
    </row>
    <row r="65" spans="1:14">
      <c r="A65" t="s">
        <v>115</v>
      </c>
      <c r="B65" t="s">
        <v>185</v>
      </c>
      <c r="C65" t="s">
        <v>168</v>
      </c>
      <c r="D65" t="s">
        <v>136</v>
      </c>
      <c r="E65" t="s">
        <v>168</v>
      </c>
      <c r="F65" t="s">
        <v>137</v>
      </c>
      <c r="G65" t="s">
        <v>168</v>
      </c>
      <c r="H65" t="s">
        <v>137</v>
      </c>
      <c r="I65" t="s">
        <v>169</v>
      </c>
      <c r="J65"/>
      <c r="K65" t="s">
        <v>169</v>
      </c>
      <c r="L65"/>
      <c r="M65" t="s">
        <v>169</v>
      </c>
      <c r="N65"/>
    </row>
    <row r="66" spans="1:14">
      <c r="A66" t="s">
        <v>115</v>
      </c>
      <c r="B66" t="s">
        <v>120</v>
      </c>
      <c r="C66" t="s">
        <v>174</v>
      </c>
      <c r="D66" t="s">
        <v>249</v>
      </c>
      <c r="E66" t="s">
        <v>135</v>
      </c>
      <c r="F66" t="s">
        <v>249</v>
      </c>
      <c r="G66" t="s">
        <v>135</v>
      </c>
      <c r="H66" t="s">
        <v>249</v>
      </c>
      <c r="I66" t="s">
        <v>173</v>
      </c>
      <c r="J66"/>
      <c r="K66" t="s">
        <v>173</v>
      </c>
      <c r="L66" t="s">
        <v>175</v>
      </c>
      <c r="M66"/>
      <c r="N66"/>
    </row>
    <row r="67" spans="1:14">
      <c r="A67" t="s">
        <v>115</v>
      </c>
      <c r="B67" t="s">
        <v>112</v>
      </c>
      <c r="C67" t="s">
        <v>133</v>
      </c>
      <c r="D67"/>
      <c r="E67" t="s">
        <v>133</v>
      </c>
      <c r="F67"/>
      <c r="G67" t="s">
        <v>133</v>
      </c>
      <c r="H67"/>
      <c r="I67" t="s">
        <v>129</v>
      </c>
      <c r="J67"/>
      <c r="K67" t="s">
        <v>129</v>
      </c>
      <c r="L67"/>
      <c r="M67" t="s">
        <v>129</v>
      </c>
      <c r="N67"/>
    </row>
    <row r="68" spans="1:14">
      <c r="A68" t="s">
        <v>115</v>
      </c>
      <c r="B68" t="s">
        <v>101</v>
      </c>
      <c r="C68" t="s">
        <v>122</v>
      </c>
      <c r="D68" t="s">
        <v>248</v>
      </c>
      <c r="E68" t="s">
        <v>122</v>
      </c>
      <c r="F68" t="s">
        <v>254</v>
      </c>
      <c r="G68" t="s">
        <v>122</v>
      </c>
      <c r="H68" t="s">
        <v>255</v>
      </c>
      <c r="I68" t="s">
        <v>140</v>
      </c>
      <c r="J68"/>
      <c r="K68" t="s">
        <v>140</v>
      </c>
      <c r="L68" t="s">
        <v>153</v>
      </c>
      <c r="M68" t="s">
        <v>140</v>
      </c>
      <c r="N68" t="s">
        <v>154</v>
      </c>
    </row>
    <row r="69" spans="1:14">
      <c r="A69" t="s">
        <v>119</v>
      </c>
      <c r="B69" t="s">
        <v>113</v>
      </c>
      <c r="C69" t="s">
        <v>180</v>
      </c>
      <c r="D69"/>
      <c r="E69" t="s">
        <v>180</v>
      </c>
      <c r="F69"/>
      <c r="G69" t="s">
        <v>180</v>
      </c>
      <c r="H69"/>
      <c r="I69" t="s">
        <v>129</v>
      </c>
      <c r="J69"/>
      <c r="K69" t="s">
        <v>129</v>
      </c>
      <c r="L69"/>
      <c r="M69" t="s">
        <v>129</v>
      </c>
      <c r="N69"/>
    </row>
    <row r="70" spans="1:14">
      <c r="A70" t="s">
        <v>119</v>
      </c>
      <c r="B70" t="s">
        <v>185</v>
      </c>
      <c r="C70" t="s">
        <v>174</v>
      </c>
      <c r="D70" t="s">
        <v>256</v>
      </c>
      <c r="E70" t="s">
        <v>174</v>
      </c>
      <c r="F70" t="s">
        <v>163</v>
      </c>
      <c r="G70" t="s">
        <v>174</v>
      </c>
      <c r="H70" t="s">
        <v>163</v>
      </c>
      <c r="I70" t="s">
        <v>133</v>
      </c>
      <c r="J70"/>
      <c r="K70" t="s">
        <v>133</v>
      </c>
      <c r="L70"/>
      <c r="M70" t="s">
        <v>133</v>
      </c>
      <c r="N70"/>
    </row>
    <row r="71" spans="1:14">
      <c r="A71" t="s">
        <v>119</v>
      </c>
      <c r="B71" t="s">
        <v>120</v>
      </c>
      <c r="C71" t="s">
        <v>122</v>
      </c>
      <c r="D71" t="s">
        <v>256</v>
      </c>
      <c r="E71" t="s">
        <v>122</v>
      </c>
      <c r="F71" t="s">
        <v>252</v>
      </c>
      <c r="G71" t="s">
        <v>122</v>
      </c>
      <c r="H71" t="s">
        <v>252</v>
      </c>
      <c r="I71" t="s">
        <v>169</v>
      </c>
      <c r="J71"/>
      <c r="K71" t="s">
        <v>169</v>
      </c>
      <c r="L71"/>
      <c r="M71" t="s">
        <v>169</v>
      </c>
      <c r="N71"/>
    </row>
    <row r="72" spans="1:14">
      <c r="A72" t="s">
        <v>119</v>
      </c>
      <c r="B72" t="s">
        <v>112</v>
      </c>
      <c r="C72" t="s">
        <v>172</v>
      </c>
      <c r="D72" t="s">
        <v>205</v>
      </c>
      <c r="E72" t="s">
        <v>172</v>
      </c>
      <c r="F72" t="s">
        <v>205</v>
      </c>
      <c r="G72" t="s">
        <v>172</v>
      </c>
      <c r="H72" t="s">
        <v>205</v>
      </c>
      <c r="I72" t="s">
        <v>173</v>
      </c>
      <c r="J72"/>
      <c r="K72" t="s">
        <v>173</v>
      </c>
      <c r="L72" t="s">
        <v>206</v>
      </c>
      <c r="M72" t="s">
        <v>173</v>
      </c>
      <c r="N72" t="s">
        <v>206</v>
      </c>
    </row>
    <row r="73" spans="1:14">
      <c r="A73" t="s">
        <v>119</v>
      </c>
      <c r="B73" t="s">
        <v>101</v>
      </c>
      <c r="C73" t="s">
        <v>135</v>
      </c>
      <c r="D73" t="s">
        <v>155</v>
      </c>
      <c r="E73" t="s">
        <v>135</v>
      </c>
      <c r="F73" t="s">
        <v>156</v>
      </c>
      <c r="G73" t="s">
        <v>135</v>
      </c>
      <c r="H73" t="s">
        <v>157</v>
      </c>
      <c r="I73" t="s">
        <v>173</v>
      </c>
      <c r="J73"/>
      <c r="K73" t="s">
        <v>173</v>
      </c>
      <c r="L73" t="s">
        <v>158</v>
      </c>
      <c r="M73" t="s">
        <v>216</v>
      </c>
      <c r="N73" t="s">
        <v>159</v>
      </c>
    </row>
    <row r="74" spans="1:14">
      <c r="A74" t="s">
        <v>119</v>
      </c>
      <c r="B74" t="s">
        <v>164</v>
      </c>
      <c r="C74" t="s">
        <v>174</v>
      </c>
      <c r="D74" t="s">
        <v>124</v>
      </c>
      <c r="E74" t="s">
        <v>174</v>
      </c>
      <c r="F74" t="s">
        <v>207</v>
      </c>
      <c r="G74" t="s">
        <v>174</v>
      </c>
      <c r="H74" t="s">
        <v>207</v>
      </c>
      <c r="I74" t="s">
        <v>169</v>
      </c>
      <c r="J74"/>
      <c r="K74" t="s">
        <v>169</v>
      </c>
      <c r="L74" t="s">
        <v>182</v>
      </c>
      <c r="M74" t="s">
        <v>169</v>
      </c>
      <c r="N74" t="s">
        <v>136</v>
      </c>
    </row>
    <row r="75" spans="1:14">
      <c r="A75" t="s">
        <v>105</v>
      </c>
      <c r="B75" t="s">
        <v>113</v>
      </c>
      <c r="C75" t="s">
        <v>174</v>
      </c>
      <c r="D75" t="s">
        <v>206</v>
      </c>
      <c r="E75" t="s">
        <v>174</v>
      </c>
      <c r="F75" t="s">
        <v>163</v>
      </c>
      <c r="G75" t="s">
        <v>174</v>
      </c>
      <c r="H75" t="s">
        <v>163</v>
      </c>
      <c r="I75" t="s">
        <v>122</v>
      </c>
      <c r="J75"/>
      <c r="K75" t="s">
        <v>122</v>
      </c>
      <c r="L75"/>
      <c r="M75" t="s">
        <v>122</v>
      </c>
      <c r="N75"/>
    </row>
    <row r="76" spans="1:14">
      <c r="A76" t="s">
        <v>105</v>
      </c>
      <c r="B76" t="s">
        <v>185</v>
      </c>
      <c r="C76" t="s">
        <v>168</v>
      </c>
      <c r="D76"/>
      <c r="E76" t="s">
        <v>168</v>
      </c>
      <c r="F76" t="s">
        <v>163</v>
      </c>
      <c r="G76" t="s">
        <v>168</v>
      </c>
      <c r="H76" t="s">
        <v>163</v>
      </c>
      <c r="I76" t="s">
        <v>129</v>
      </c>
      <c r="J76" t="s">
        <v>262</v>
      </c>
      <c r="K76" t="s">
        <v>129</v>
      </c>
      <c r="L76" t="s">
        <v>262</v>
      </c>
      <c r="M76" t="s">
        <v>129</v>
      </c>
      <c r="N76" t="s">
        <v>262</v>
      </c>
    </row>
    <row r="77" spans="1:14">
      <c r="A77" t="s">
        <v>105</v>
      </c>
      <c r="B77" t="s">
        <v>120</v>
      </c>
      <c r="C77" t="s">
        <v>122</v>
      </c>
      <c r="D77" t="s">
        <v>136</v>
      </c>
      <c r="E77" t="s">
        <v>122</v>
      </c>
      <c r="F77" t="s">
        <v>163</v>
      </c>
      <c r="G77" t="s">
        <v>122</v>
      </c>
      <c r="H77" t="s">
        <v>163</v>
      </c>
      <c r="I77" t="s">
        <v>140</v>
      </c>
      <c r="J77"/>
      <c r="K77" t="s">
        <v>140</v>
      </c>
      <c r="L77" t="s">
        <v>163</v>
      </c>
      <c r="M77" t="s">
        <v>140</v>
      </c>
      <c r="N77" t="s">
        <v>163</v>
      </c>
    </row>
    <row r="78" spans="1:14">
      <c r="A78" t="s">
        <v>105</v>
      </c>
      <c r="B78" t="s">
        <v>112</v>
      </c>
      <c r="C78" t="s">
        <v>133</v>
      </c>
      <c r="D78"/>
      <c r="E78" t="s">
        <v>133</v>
      </c>
      <c r="F78"/>
      <c r="G78" t="s">
        <v>133</v>
      </c>
      <c r="H78"/>
      <c r="I78" t="s">
        <v>129</v>
      </c>
      <c r="J78"/>
      <c r="K78" t="s">
        <v>129</v>
      </c>
      <c r="L78" t="s">
        <v>206</v>
      </c>
      <c r="M78" t="s">
        <v>129</v>
      </c>
      <c r="N78" t="s">
        <v>206</v>
      </c>
    </row>
    <row r="79" spans="1:14">
      <c r="A79" t="s">
        <v>105</v>
      </c>
      <c r="B79" t="s">
        <v>101</v>
      </c>
      <c r="C79" t="s">
        <v>128</v>
      </c>
      <c r="D79" t="s">
        <v>256</v>
      </c>
      <c r="E79" t="s">
        <v>128</v>
      </c>
      <c r="F79" t="s">
        <v>257</v>
      </c>
      <c r="G79" t="s">
        <v>128</v>
      </c>
      <c r="H79" t="s">
        <v>258</v>
      </c>
      <c r="I79" t="s">
        <v>169</v>
      </c>
      <c r="J79"/>
      <c r="K79" t="s">
        <v>169</v>
      </c>
      <c r="L79" t="s">
        <v>160</v>
      </c>
      <c r="M79" t="s">
        <v>169</v>
      </c>
      <c r="N79" t="s">
        <v>161</v>
      </c>
    </row>
    <row r="80" spans="1:14">
      <c r="A80" t="s">
        <v>105</v>
      </c>
      <c r="B80" t="s">
        <v>244</v>
      </c>
      <c r="C80" t="s">
        <v>259</v>
      </c>
      <c r="D80" t="s">
        <v>124</v>
      </c>
      <c r="E80" t="s">
        <v>259</v>
      </c>
      <c r="F80" t="s">
        <v>163</v>
      </c>
      <c r="G80" t="s">
        <v>259</v>
      </c>
      <c r="H80" t="s">
        <v>208</v>
      </c>
      <c r="I80" t="s">
        <v>129</v>
      </c>
      <c r="J80"/>
      <c r="K80" t="s">
        <v>129</v>
      </c>
      <c r="L80" t="s">
        <v>149</v>
      </c>
      <c r="M80" t="s">
        <v>131</v>
      </c>
      <c r="N80" t="s">
        <v>149</v>
      </c>
    </row>
    <row r="81" spans="1:14">
      <c r="A81" t="s">
        <v>105</v>
      </c>
      <c r="B81" t="s">
        <v>164</v>
      </c>
      <c r="C81" t="s">
        <v>133</v>
      </c>
      <c r="D81" t="s">
        <v>124</v>
      </c>
      <c r="E81" t="s">
        <v>133</v>
      </c>
      <c r="F81" t="s">
        <v>124</v>
      </c>
      <c r="G81" t="s">
        <v>133</v>
      </c>
      <c r="H81" t="s">
        <v>124</v>
      </c>
      <c r="I81" t="s">
        <v>169</v>
      </c>
      <c r="J81"/>
      <c r="K81" t="s">
        <v>169</v>
      </c>
      <c r="L81"/>
      <c r="M81" t="s">
        <v>169</v>
      </c>
      <c r="N81"/>
    </row>
    <row r="82" spans="1:14">
      <c r="A82" t="s">
        <v>108</v>
      </c>
      <c r="B82" t="s">
        <v>113</v>
      </c>
      <c r="C82" t="s">
        <v>174</v>
      </c>
      <c r="D82" t="s">
        <v>248</v>
      </c>
      <c r="E82" t="s">
        <v>174</v>
      </c>
      <c r="F82" t="s">
        <v>249</v>
      </c>
      <c r="G82" t="s">
        <v>174</v>
      </c>
      <c r="H82" t="s">
        <v>249</v>
      </c>
      <c r="I82" t="s">
        <v>169</v>
      </c>
      <c r="J82"/>
      <c r="K82" t="s">
        <v>169</v>
      </c>
      <c r="L82"/>
      <c r="M82" t="s">
        <v>169</v>
      </c>
      <c r="N82"/>
    </row>
    <row r="83" spans="1:14">
      <c r="A83" t="s">
        <v>108</v>
      </c>
      <c r="B83" t="s">
        <v>185</v>
      </c>
      <c r="C83" t="s">
        <v>172</v>
      </c>
      <c r="D83" t="s">
        <v>124</v>
      </c>
      <c r="E83" t="s">
        <v>172</v>
      </c>
      <c r="F83" t="s">
        <v>207</v>
      </c>
      <c r="G83" t="s">
        <v>172</v>
      </c>
      <c r="H83" t="s">
        <v>207</v>
      </c>
      <c r="I83" t="s">
        <v>129</v>
      </c>
      <c r="J83"/>
      <c r="K83" t="s">
        <v>129</v>
      </c>
      <c r="L83"/>
      <c r="M83" t="s">
        <v>129</v>
      </c>
      <c r="N83"/>
    </row>
    <row r="84" spans="1:14">
      <c r="A84" t="s">
        <v>108</v>
      </c>
      <c r="B84" t="s">
        <v>120</v>
      </c>
      <c r="C84" t="s">
        <v>133</v>
      </c>
      <c r="D84" t="s">
        <v>124</v>
      </c>
      <c r="E84" t="s">
        <v>133</v>
      </c>
      <c r="F84" t="s">
        <v>124</v>
      </c>
      <c r="G84" t="s">
        <v>133</v>
      </c>
      <c r="H84" t="s">
        <v>124</v>
      </c>
      <c r="I84" t="s">
        <v>169</v>
      </c>
      <c r="J84"/>
      <c r="K84" t="s">
        <v>169</v>
      </c>
      <c r="L84"/>
      <c r="M84" t="s">
        <v>169</v>
      </c>
      <c r="N84"/>
    </row>
    <row r="85" spans="1:14">
      <c r="A85" t="s">
        <v>108</v>
      </c>
      <c r="B85" t="s">
        <v>112</v>
      </c>
      <c r="C85" t="s">
        <v>122</v>
      </c>
      <c r="D85"/>
      <c r="E85" t="s">
        <v>122</v>
      </c>
      <c r="F85"/>
      <c r="G85" t="s">
        <v>122</v>
      </c>
      <c r="H85"/>
      <c r="I85" t="s">
        <v>129</v>
      </c>
      <c r="J85"/>
      <c r="K85" t="s">
        <v>131</v>
      </c>
      <c r="L85"/>
      <c r="M85" t="s">
        <v>131</v>
      </c>
      <c r="N85"/>
    </row>
    <row r="86" spans="1:14">
      <c r="A86" t="s">
        <v>177</v>
      </c>
      <c r="B86" t="s">
        <v>113</v>
      </c>
      <c r="C86" t="s">
        <v>174</v>
      </c>
      <c r="D86" t="s">
        <v>136</v>
      </c>
      <c r="E86" t="s">
        <v>174</v>
      </c>
      <c r="F86" t="s">
        <v>137</v>
      </c>
      <c r="G86" t="s">
        <v>174</v>
      </c>
      <c r="H86" t="s">
        <v>137</v>
      </c>
      <c r="I86" t="s">
        <v>140</v>
      </c>
      <c r="J86"/>
      <c r="K86" t="s">
        <v>140</v>
      </c>
      <c r="L86"/>
      <c r="M86" t="s">
        <v>140</v>
      </c>
      <c r="N86"/>
    </row>
    <row r="87" spans="1:14">
      <c r="A87" t="s">
        <v>177</v>
      </c>
      <c r="B87" t="s">
        <v>185</v>
      </c>
      <c r="C87" t="s">
        <v>180</v>
      </c>
      <c r="D87"/>
      <c r="E87" t="s">
        <v>180</v>
      </c>
      <c r="F87" t="s">
        <v>163</v>
      </c>
      <c r="G87" t="s">
        <v>180</v>
      </c>
      <c r="H87" t="s">
        <v>163</v>
      </c>
      <c r="I87" t="s">
        <v>169</v>
      </c>
      <c r="J87"/>
      <c r="K87" t="s">
        <v>169</v>
      </c>
      <c r="L87"/>
      <c r="M87" t="s">
        <v>169</v>
      </c>
      <c r="N87"/>
    </row>
    <row r="88" spans="1:14">
      <c r="A88" t="s">
        <v>177</v>
      </c>
      <c r="B88" t="s">
        <v>120</v>
      </c>
      <c r="C88" t="s">
        <v>172</v>
      </c>
      <c r="D88" t="s">
        <v>257</v>
      </c>
      <c r="E88" t="s">
        <v>172</v>
      </c>
      <c r="F88" t="s">
        <v>257</v>
      </c>
      <c r="G88" t="s">
        <v>172</v>
      </c>
      <c r="H88" t="s">
        <v>257</v>
      </c>
      <c r="I88" t="s">
        <v>140</v>
      </c>
      <c r="J88"/>
      <c r="K88" t="s">
        <v>140</v>
      </c>
      <c r="L88" t="s">
        <v>256</v>
      </c>
      <c r="M88" t="s">
        <v>140</v>
      </c>
      <c r="N88" t="s">
        <v>256</v>
      </c>
    </row>
    <row r="89" spans="1:14">
      <c r="A89" t="s">
        <v>177</v>
      </c>
      <c r="B89" t="s">
        <v>112</v>
      </c>
      <c r="C89" t="s">
        <v>168</v>
      </c>
      <c r="D89" t="s">
        <v>205</v>
      </c>
      <c r="E89" t="s">
        <v>168</v>
      </c>
      <c r="F89" t="s">
        <v>205</v>
      </c>
      <c r="G89" t="s">
        <v>168</v>
      </c>
      <c r="H89" t="s">
        <v>205</v>
      </c>
      <c r="I89" t="s">
        <v>129</v>
      </c>
      <c r="J89"/>
      <c r="K89" t="s">
        <v>129</v>
      </c>
      <c r="L89" t="s">
        <v>206</v>
      </c>
      <c r="M89" t="s">
        <v>129</v>
      </c>
      <c r="N89" t="s">
        <v>206</v>
      </c>
    </row>
    <row r="90" spans="1:14">
      <c r="A90" t="s">
        <v>177</v>
      </c>
      <c r="B90" t="s">
        <v>68</v>
      </c>
      <c r="C90" t="s">
        <v>168</v>
      </c>
      <c r="D90"/>
      <c r="E90" t="s">
        <v>168</v>
      </c>
      <c r="F90" t="s">
        <v>124</v>
      </c>
      <c r="G90" t="s">
        <v>168</v>
      </c>
      <c r="H90" t="s">
        <v>124</v>
      </c>
      <c r="I90" t="s">
        <v>169</v>
      </c>
      <c r="J90"/>
      <c r="K90" t="s">
        <v>169</v>
      </c>
      <c r="L90" t="s">
        <v>263</v>
      </c>
      <c r="M90" t="s">
        <v>169</v>
      </c>
      <c r="N90" t="s">
        <v>263</v>
      </c>
    </row>
    <row r="91" spans="1:14">
      <c r="A91" t="s">
        <v>176</v>
      </c>
      <c r="B91" t="s">
        <v>113</v>
      </c>
      <c r="C91" t="s">
        <v>168</v>
      </c>
      <c r="D91"/>
      <c r="E91" t="s">
        <v>168</v>
      </c>
      <c r="F91" t="s">
        <v>163</v>
      </c>
      <c r="G91" t="s">
        <v>168</v>
      </c>
      <c r="H91" t="s">
        <v>163</v>
      </c>
      <c r="I91" t="s">
        <v>129</v>
      </c>
      <c r="J91"/>
      <c r="K91" t="s">
        <v>129</v>
      </c>
      <c r="L91"/>
      <c r="M91" t="s">
        <v>129</v>
      </c>
      <c r="N91"/>
    </row>
    <row r="92" spans="1:14">
      <c r="A92" t="s">
        <v>176</v>
      </c>
      <c r="B92" t="s">
        <v>185</v>
      </c>
      <c r="C92" t="s">
        <v>172</v>
      </c>
      <c r="D92" t="s">
        <v>136</v>
      </c>
      <c r="E92" t="s">
        <v>172</v>
      </c>
      <c r="F92" t="s">
        <v>137</v>
      </c>
      <c r="G92" t="s">
        <v>172</v>
      </c>
      <c r="H92" t="s">
        <v>137</v>
      </c>
      <c r="I92" t="s">
        <v>140</v>
      </c>
      <c r="J92"/>
      <c r="K92" t="s">
        <v>140</v>
      </c>
      <c r="L92"/>
      <c r="M92" t="s">
        <v>140</v>
      </c>
      <c r="N92"/>
    </row>
    <row r="93" spans="1:14">
      <c r="A93" t="s">
        <v>176</v>
      </c>
      <c r="B93" t="s">
        <v>120</v>
      </c>
      <c r="C93" t="s">
        <v>174</v>
      </c>
      <c r="D93" t="s">
        <v>257</v>
      </c>
      <c r="E93" t="s">
        <v>174</v>
      </c>
      <c r="F93" t="s">
        <v>257</v>
      </c>
      <c r="G93" t="s">
        <v>174</v>
      </c>
      <c r="H93" t="s">
        <v>257</v>
      </c>
      <c r="I93" t="s">
        <v>173</v>
      </c>
      <c r="J93"/>
      <c r="K93" t="s">
        <v>173</v>
      </c>
      <c r="L93" t="s">
        <v>256</v>
      </c>
      <c r="M93" t="s">
        <v>173</v>
      </c>
      <c r="N93" t="s">
        <v>256</v>
      </c>
    </row>
    <row r="94" spans="1:14">
      <c r="A94" t="s">
        <v>176</v>
      </c>
      <c r="B94" t="s">
        <v>112</v>
      </c>
      <c r="C94" t="s">
        <v>133</v>
      </c>
      <c r="D94" t="s">
        <v>206</v>
      </c>
      <c r="E94" t="s">
        <v>133</v>
      </c>
      <c r="F94" t="s">
        <v>206</v>
      </c>
      <c r="G94" t="s">
        <v>133</v>
      </c>
      <c r="H94" t="s">
        <v>206</v>
      </c>
      <c r="I94" t="s">
        <v>169</v>
      </c>
      <c r="J94"/>
      <c r="K94" t="s">
        <v>169</v>
      </c>
      <c r="L94"/>
      <c r="M94" t="s">
        <v>169</v>
      </c>
      <c r="N94"/>
    </row>
    <row r="95" spans="1:14">
      <c r="A95" t="s">
        <v>176</v>
      </c>
      <c r="B95" t="s">
        <v>68</v>
      </c>
      <c r="C95" t="s">
        <v>135</v>
      </c>
      <c r="D95" t="s">
        <v>248</v>
      </c>
      <c r="E95" t="s">
        <v>135</v>
      </c>
      <c r="F95" t="s">
        <v>254</v>
      </c>
      <c r="G95" t="s">
        <v>135</v>
      </c>
      <c r="H95" t="s">
        <v>254</v>
      </c>
      <c r="I95" t="s">
        <v>140</v>
      </c>
      <c r="J95"/>
      <c r="K95" t="s">
        <v>140</v>
      </c>
      <c r="L95"/>
      <c r="M95" t="s">
        <v>140</v>
      </c>
      <c r="N95"/>
    </row>
    <row r="96" spans="1:14">
      <c r="A96" t="s">
        <v>106</v>
      </c>
      <c r="B96" t="s">
        <v>113</v>
      </c>
      <c r="C96" t="s">
        <v>172</v>
      </c>
      <c r="D96" t="s">
        <v>248</v>
      </c>
      <c r="E96" t="s">
        <v>172</v>
      </c>
      <c r="F96" t="s">
        <v>163</v>
      </c>
      <c r="G96" t="s">
        <v>172</v>
      </c>
      <c r="H96" t="s">
        <v>163</v>
      </c>
      <c r="I96" t="s">
        <v>169</v>
      </c>
      <c r="J96"/>
      <c r="K96" t="s">
        <v>169</v>
      </c>
      <c r="L96"/>
      <c r="M96" t="s">
        <v>169</v>
      </c>
      <c r="N96"/>
    </row>
    <row r="97" spans="1:14">
      <c r="A97" t="s">
        <v>106</v>
      </c>
      <c r="B97" t="s">
        <v>185</v>
      </c>
      <c r="C97" t="s">
        <v>168</v>
      </c>
      <c r="D97" t="s">
        <v>124</v>
      </c>
      <c r="E97" t="s">
        <v>168</v>
      </c>
      <c r="F97" t="s">
        <v>163</v>
      </c>
      <c r="G97" t="s">
        <v>168</v>
      </c>
      <c r="H97" t="s">
        <v>163</v>
      </c>
      <c r="I97" t="s">
        <v>129</v>
      </c>
      <c r="J97"/>
      <c r="K97" t="s">
        <v>129</v>
      </c>
      <c r="L97"/>
      <c r="M97" t="s">
        <v>129</v>
      </c>
      <c r="N97"/>
    </row>
    <row r="98" spans="1:14">
      <c r="A98" t="s">
        <v>106</v>
      </c>
      <c r="B98" t="s">
        <v>120</v>
      </c>
      <c r="C98" t="s">
        <v>135</v>
      </c>
      <c r="D98" t="s">
        <v>124</v>
      </c>
      <c r="E98" t="s">
        <v>135</v>
      </c>
      <c r="F98" t="s">
        <v>124</v>
      </c>
      <c r="G98" t="s">
        <v>135</v>
      </c>
      <c r="H98" t="s">
        <v>124</v>
      </c>
      <c r="I98" t="s">
        <v>129</v>
      </c>
      <c r="J98"/>
      <c r="K98" t="s">
        <v>129</v>
      </c>
      <c r="L98"/>
      <c r="M98" t="s">
        <v>129</v>
      </c>
      <c r="N98"/>
    </row>
    <row r="99" spans="1:14">
      <c r="A99" t="s">
        <v>106</v>
      </c>
      <c r="B99" t="s">
        <v>112</v>
      </c>
      <c r="C99" t="s">
        <v>122</v>
      </c>
      <c r="D99"/>
      <c r="E99" t="s">
        <v>122</v>
      </c>
      <c r="F99"/>
      <c r="G99" t="s">
        <v>122</v>
      </c>
      <c r="H99"/>
      <c r="I99" t="s">
        <v>140</v>
      </c>
      <c r="J99"/>
      <c r="K99" t="s">
        <v>171</v>
      </c>
      <c r="L99"/>
      <c r="M99" t="s">
        <v>171</v>
      </c>
      <c r="N99"/>
    </row>
    <row r="100" spans="1:14">
      <c r="A100" t="s">
        <v>106</v>
      </c>
      <c r="B100" t="s">
        <v>245</v>
      </c>
      <c r="C100" t="s">
        <v>172</v>
      </c>
      <c r="D100" t="s">
        <v>248</v>
      </c>
      <c r="E100" t="s">
        <v>172</v>
      </c>
      <c r="F100" t="s">
        <v>163</v>
      </c>
      <c r="G100" t="s">
        <v>172</v>
      </c>
      <c r="H100" t="s">
        <v>249</v>
      </c>
      <c r="I100" t="s">
        <v>129</v>
      </c>
      <c r="J100"/>
      <c r="K100" t="s">
        <v>129</v>
      </c>
      <c r="L100" t="s">
        <v>163</v>
      </c>
      <c r="M100" t="s">
        <v>129</v>
      </c>
      <c r="N100" t="s">
        <v>124</v>
      </c>
    </row>
    <row r="101" spans="1:14">
      <c r="A101" t="s">
        <v>111</v>
      </c>
      <c r="B101" t="s">
        <v>187</v>
      </c>
      <c r="C101" t="s">
        <v>174</v>
      </c>
      <c r="D101" t="s">
        <v>206</v>
      </c>
      <c r="E101" t="s">
        <v>174</v>
      </c>
      <c r="F101" t="s">
        <v>205</v>
      </c>
      <c r="G101" t="s">
        <v>174</v>
      </c>
      <c r="H101" t="s">
        <v>205</v>
      </c>
      <c r="I101" t="s">
        <v>135</v>
      </c>
      <c r="J101"/>
      <c r="K101" t="s">
        <v>135</v>
      </c>
      <c r="L101"/>
      <c r="M101" t="s">
        <v>135</v>
      </c>
      <c r="N101"/>
    </row>
    <row r="102" spans="1:14">
      <c r="A102" t="s">
        <v>111</v>
      </c>
      <c r="B102" t="s">
        <v>188</v>
      </c>
      <c r="C102" t="s">
        <v>168</v>
      </c>
      <c r="D102" t="s">
        <v>256</v>
      </c>
      <c r="E102" t="s">
        <v>168</v>
      </c>
      <c r="F102" t="s">
        <v>163</v>
      </c>
      <c r="G102" t="s">
        <v>168</v>
      </c>
      <c r="H102" t="s">
        <v>163</v>
      </c>
      <c r="I102" t="s">
        <v>128</v>
      </c>
      <c r="J102"/>
      <c r="K102" t="s">
        <v>128</v>
      </c>
      <c r="L102"/>
      <c r="M102" t="s">
        <v>128</v>
      </c>
      <c r="N102"/>
    </row>
    <row r="103" spans="1:14">
      <c r="A103" t="s">
        <v>111</v>
      </c>
      <c r="B103" t="s">
        <v>246</v>
      </c>
      <c r="C103" t="s">
        <v>135</v>
      </c>
      <c r="D103" t="s">
        <v>206</v>
      </c>
      <c r="E103" t="s">
        <v>135</v>
      </c>
      <c r="F103" t="s">
        <v>163</v>
      </c>
      <c r="G103" t="s">
        <v>135</v>
      </c>
      <c r="H103" t="s">
        <v>206</v>
      </c>
      <c r="I103" t="s">
        <v>169</v>
      </c>
      <c r="J103"/>
      <c r="K103" t="s">
        <v>169</v>
      </c>
      <c r="L103"/>
      <c r="M103" t="s">
        <v>169</v>
      </c>
      <c r="N103"/>
    </row>
    <row r="104" spans="1:14">
      <c r="A104" t="s">
        <v>111</v>
      </c>
      <c r="B104" t="s">
        <v>179</v>
      </c>
      <c r="C104" t="s">
        <v>133</v>
      </c>
      <c r="D104" t="s">
        <v>136</v>
      </c>
      <c r="E104" t="s">
        <v>133</v>
      </c>
      <c r="F104" t="s">
        <v>137</v>
      </c>
      <c r="G104" t="s">
        <v>133</v>
      </c>
      <c r="H104" t="s">
        <v>137</v>
      </c>
      <c r="I104" t="s">
        <v>129</v>
      </c>
      <c r="J104"/>
      <c r="K104" t="s">
        <v>129</v>
      </c>
      <c r="L104" t="s">
        <v>206</v>
      </c>
      <c r="M104" t="s">
        <v>129</v>
      </c>
      <c r="N104" t="s">
        <v>206</v>
      </c>
    </row>
    <row r="105" spans="1:14">
      <c r="A105" t="s">
        <v>111</v>
      </c>
      <c r="B105" t="s">
        <v>178</v>
      </c>
      <c r="C105" t="s">
        <v>122</v>
      </c>
      <c r="D105"/>
      <c r="E105" t="s">
        <v>122</v>
      </c>
      <c r="F105"/>
      <c r="G105" t="s">
        <v>122</v>
      </c>
      <c r="H105"/>
      <c r="I105" t="s">
        <v>140</v>
      </c>
      <c r="J105"/>
      <c r="K105" t="s">
        <v>140</v>
      </c>
      <c r="L105"/>
      <c r="M105" t="s">
        <v>140</v>
      </c>
      <c r="N105"/>
    </row>
    <row r="106" spans="1:14">
      <c r="A106" t="s">
        <v>99</v>
      </c>
      <c r="B106" t="s">
        <v>113</v>
      </c>
      <c r="C106" t="s">
        <v>168</v>
      </c>
      <c r="D106" t="s">
        <v>248</v>
      </c>
      <c r="E106" t="s">
        <v>168</v>
      </c>
      <c r="F106" t="s">
        <v>163</v>
      </c>
      <c r="G106" t="s">
        <v>168</v>
      </c>
      <c r="H106" t="s">
        <v>163</v>
      </c>
      <c r="I106" t="s">
        <v>140</v>
      </c>
      <c r="J106"/>
      <c r="K106" t="s">
        <v>140</v>
      </c>
      <c r="L106"/>
      <c r="M106" t="s">
        <v>140</v>
      </c>
      <c r="N106"/>
    </row>
    <row r="107" spans="1:14">
      <c r="A107" t="s">
        <v>99</v>
      </c>
      <c r="B107" t="s">
        <v>185</v>
      </c>
      <c r="C107" t="s">
        <v>180</v>
      </c>
      <c r="D107" t="s">
        <v>136</v>
      </c>
      <c r="E107" t="s">
        <v>180</v>
      </c>
      <c r="F107" t="s">
        <v>137</v>
      </c>
      <c r="G107" t="s">
        <v>180</v>
      </c>
      <c r="H107" t="s">
        <v>137</v>
      </c>
      <c r="I107" t="s">
        <v>169</v>
      </c>
      <c r="J107"/>
      <c r="K107" t="s">
        <v>169</v>
      </c>
      <c r="L107"/>
      <c r="M107" t="s">
        <v>169</v>
      </c>
      <c r="N107"/>
    </row>
    <row r="108" spans="1:14">
      <c r="A108" t="s">
        <v>99</v>
      </c>
      <c r="B108" t="s">
        <v>120</v>
      </c>
      <c r="C108" t="s">
        <v>135</v>
      </c>
      <c r="D108" t="s">
        <v>256</v>
      </c>
      <c r="E108" t="s">
        <v>135</v>
      </c>
      <c r="F108" t="s">
        <v>163</v>
      </c>
      <c r="G108" t="s">
        <v>135</v>
      </c>
      <c r="H108" t="s">
        <v>163</v>
      </c>
      <c r="I108" t="s">
        <v>169</v>
      </c>
      <c r="J108"/>
      <c r="K108" t="s">
        <v>169</v>
      </c>
      <c r="L108"/>
      <c r="M108" t="s">
        <v>169</v>
      </c>
      <c r="N108"/>
    </row>
    <row r="109" spans="1:14">
      <c r="A109" t="s">
        <v>99</v>
      </c>
      <c r="B109" t="s">
        <v>112</v>
      </c>
      <c r="C109" t="s">
        <v>172</v>
      </c>
      <c r="D109" t="s">
        <v>205</v>
      </c>
      <c r="E109" t="s">
        <v>172</v>
      </c>
      <c r="F109" t="s">
        <v>205</v>
      </c>
      <c r="G109" t="s">
        <v>172</v>
      </c>
      <c r="H109" t="s">
        <v>205</v>
      </c>
      <c r="I109" t="s">
        <v>129</v>
      </c>
      <c r="J109"/>
      <c r="K109" t="s">
        <v>129</v>
      </c>
      <c r="L109" t="s">
        <v>206</v>
      </c>
      <c r="M109" t="s">
        <v>129</v>
      </c>
      <c r="N109" t="s">
        <v>206</v>
      </c>
    </row>
    <row r="110" spans="1:14">
      <c r="A110" t="s">
        <v>110</v>
      </c>
      <c r="B110" t="s">
        <v>113</v>
      </c>
      <c r="C110" t="s">
        <v>174</v>
      </c>
      <c r="D110"/>
      <c r="E110" t="s">
        <v>174</v>
      </c>
      <c r="F110" t="s">
        <v>163</v>
      </c>
      <c r="G110" t="s">
        <v>174</v>
      </c>
      <c r="H110" t="s">
        <v>163</v>
      </c>
      <c r="I110" t="s">
        <v>169</v>
      </c>
      <c r="J110"/>
      <c r="K110" t="s">
        <v>169</v>
      </c>
      <c r="L110"/>
      <c r="M110" t="s">
        <v>169</v>
      </c>
      <c r="N110"/>
    </row>
    <row r="111" spans="1:14">
      <c r="A111" t="s">
        <v>110</v>
      </c>
      <c r="B111" t="s">
        <v>185</v>
      </c>
      <c r="C111" t="s">
        <v>168</v>
      </c>
      <c r="D111" t="s">
        <v>248</v>
      </c>
      <c r="E111" t="s">
        <v>168</v>
      </c>
      <c r="F111" t="s">
        <v>163</v>
      </c>
      <c r="G111" t="s">
        <v>168</v>
      </c>
      <c r="H111" t="s">
        <v>163</v>
      </c>
      <c r="I111" t="s">
        <v>140</v>
      </c>
      <c r="J111"/>
      <c r="K111" t="s">
        <v>140</v>
      </c>
      <c r="L111"/>
      <c r="M111" t="s">
        <v>140</v>
      </c>
      <c r="N111"/>
    </row>
    <row r="112" spans="1:14">
      <c r="A112" t="s">
        <v>110</v>
      </c>
      <c r="B112" t="s">
        <v>120</v>
      </c>
      <c r="C112" t="s">
        <v>168</v>
      </c>
      <c r="D112" t="s">
        <v>215</v>
      </c>
      <c r="E112" t="s">
        <v>168</v>
      </c>
      <c r="F112" t="s">
        <v>163</v>
      </c>
      <c r="G112" t="s">
        <v>168</v>
      </c>
      <c r="H112" t="s">
        <v>163</v>
      </c>
      <c r="I112" t="s">
        <v>180</v>
      </c>
      <c r="J112"/>
      <c r="K112" t="s">
        <v>180</v>
      </c>
      <c r="L112" t="s">
        <v>163</v>
      </c>
      <c r="M112" t="s">
        <v>180</v>
      </c>
      <c r="N112" t="s">
        <v>163</v>
      </c>
    </row>
    <row r="113" spans="1:14">
      <c r="A113" t="s">
        <v>110</v>
      </c>
      <c r="B113" t="s">
        <v>112</v>
      </c>
      <c r="C113" t="s">
        <v>174</v>
      </c>
      <c r="D113" t="s">
        <v>207</v>
      </c>
      <c r="E113" t="s">
        <v>174</v>
      </c>
      <c r="F113" t="s">
        <v>209</v>
      </c>
      <c r="G113" t="s">
        <v>174</v>
      </c>
      <c r="H113" t="s">
        <v>209</v>
      </c>
      <c r="I113" t="s">
        <v>140</v>
      </c>
      <c r="J113"/>
      <c r="K113" t="s">
        <v>140</v>
      </c>
      <c r="L113" t="s">
        <v>210</v>
      </c>
      <c r="M113" t="s">
        <v>140</v>
      </c>
      <c r="N113" t="s">
        <v>210</v>
      </c>
    </row>
    <row r="114" spans="1:14">
      <c r="A114" t="s">
        <v>107</v>
      </c>
      <c r="B114" t="s">
        <v>113</v>
      </c>
      <c r="C114" t="s">
        <v>174</v>
      </c>
      <c r="D114" t="s">
        <v>256</v>
      </c>
      <c r="E114" t="s">
        <v>174</v>
      </c>
      <c r="F114" t="s">
        <v>163</v>
      </c>
      <c r="G114" t="s">
        <v>174</v>
      </c>
      <c r="H114" t="s">
        <v>163</v>
      </c>
      <c r="I114" t="s">
        <v>122</v>
      </c>
      <c r="J114"/>
      <c r="K114" t="s">
        <v>122</v>
      </c>
      <c r="L114"/>
      <c r="M114" t="s">
        <v>122</v>
      </c>
      <c r="N114"/>
    </row>
    <row r="115" spans="1:14">
      <c r="A115" t="s">
        <v>107</v>
      </c>
      <c r="B115" t="s">
        <v>185</v>
      </c>
      <c r="C115" t="s">
        <v>172</v>
      </c>
      <c r="D115"/>
      <c r="E115" t="s">
        <v>172</v>
      </c>
      <c r="F115"/>
      <c r="G115" t="s">
        <v>172</v>
      </c>
      <c r="H115"/>
      <c r="I115" t="s">
        <v>140</v>
      </c>
      <c r="J115"/>
      <c r="K115" t="s">
        <v>140</v>
      </c>
      <c r="L115"/>
      <c r="M115" t="s">
        <v>140</v>
      </c>
      <c r="N115"/>
    </row>
    <row r="116" spans="1:14">
      <c r="A116" t="s">
        <v>107</v>
      </c>
      <c r="B116" t="s">
        <v>120</v>
      </c>
      <c r="C116" t="s">
        <v>168</v>
      </c>
      <c r="D116" t="s">
        <v>249</v>
      </c>
      <c r="E116" t="s">
        <v>168</v>
      </c>
      <c r="F116"/>
      <c r="G116" t="s">
        <v>168</v>
      </c>
      <c r="H116"/>
      <c r="I116" t="s">
        <v>129</v>
      </c>
      <c r="J116"/>
      <c r="K116" t="s">
        <v>129</v>
      </c>
      <c r="L116" t="s">
        <v>163</v>
      </c>
      <c r="M116" t="s">
        <v>129</v>
      </c>
      <c r="N116" t="s">
        <v>163</v>
      </c>
    </row>
    <row r="117" spans="1:14">
      <c r="A117" t="s">
        <v>107</v>
      </c>
      <c r="B117" t="s">
        <v>112</v>
      </c>
      <c r="C117" t="s">
        <v>168</v>
      </c>
      <c r="D117" t="s">
        <v>207</v>
      </c>
      <c r="E117" t="s">
        <v>168</v>
      </c>
      <c r="F117" t="s">
        <v>209</v>
      </c>
      <c r="G117" t="s">
        <v>168</v>
      </c>
      <c r="H117" t="s">
        <v>209</v>
      </c>
      <c r="I117" t="s">
        <v>140</v>
      </c>
      <c r="J117"/>
      <c r="K117" t="s">
        <v>140</v>
      </c>
      <c r="L117" t="s">
        <v>210</v>
      </c>
      <c r="M117" t="s">
        <v>140</v>
      </c>
      <c r="N117" t="s">
        <v>210</v>
      </c>
    </row>
    <row r="118" spans="1:14">
      <c r="A118" t="s">
        <v>181</v>
      </c>
      <c r="B118" t="s">
        <v>113</v>
      </c>
      <c r="C118" t="s">
        <v>168</v>
      </c>
      <c r="D118" t="s">
        <v>256</v>
      </c>
      <c r="E118" t="s">
        <v>168</v>
      </c>
      <c r="F118" t="s">
        <v>163</v>
      </c>
      <c r="G118" t="s">
        <v>168</v>
      </c>
      <c r="H118" t="s">
        <v>163</v>
      </c>
      <c r="I118" t="s">
        <v>133</v>
      </c>
      <c r="J118"/>
      <c r="K118" t="s">
        <v>133</v>
      </c>
      <c r="L118"/>
      <c r="M118" t="s">
        <v>133</v>
      </c>
      <c r="N118"/>
    </row>
    <row r="119" spans="1:14">
      <c r="A119" t="s">
        <v>181</v>
      </c>
      <c r="B119" t="s">
        <v>185</v>
      </c>
      <c r="C119" t="s">
        <v>172</v>
      </c>
      <c r="D119"/>
      <c r="E119" t="s">
        <v>172</v>
      </c>
      <c r="F119" t="s">
        <v>163</v>
      </c>
      <c r="G119" t="s">
        <v>172</v>
      </c>
      <c r="H119" t="s">
        <v>163</v>
      </c>
      <c r="I119" t="s">
        <v>129</v>
      </c>
      <c r="J119"/>
      <c r="K119" t="s">
        <v>129</v>
      </c>
      <c r="L119"/>
      <c r="M119" t="s">
        <v>129</v>
      </c>
      <c r="N119"/>
    </row>
    <row r="120" spans="1:14">
      <c r="A120" t="s">
        <v>181</v>
      </c>
      <c r="B120" t="s">
        <v>120</v>
      </c>
      <c r="C120" t="s">
        <v>174</v>
      </c>
      <c r="D120" t="s">
        <v>249</v>
      </c>
      <c r="E120" t="s">
        <v>174</v>
      </c>
      <c r="F120" t="s">
        <v>249</v>
      </c>
      <c r="G120" t="s">
        <v>174</v>
      </c>
      <c r="H120" t="s">
        <v>249</v>
      </c>
      <c r="I120" t="s">
        <v>129</v>
      </c>
      <c r="J120"/>
      <c r="K120" t="s">
        <v>129</v>
      </c>
      <c r="L120" t="s">
        <v>248</v>
      </c>
      <c r="M120" t="s">
        <v>129</v>
      </c>
      <c r="N120" t="s">
        <v>248</v>
      </c>
    </row>
    <row r="121" spans="1:14">
      <c r="A121" t="s">
        <v>181</v>
      </c>
      <c r="B121" t="s">
        <v>112</v>
      </c>
      <c r="C121" t="s">
        <v>172</v>
      </c>
      <c r="D121" t="s">
        <v>205</v>
      </c>
      <c r="E121" t="s">
        <v>172</v>
      </c>
      <c r="F121" t="s">
        <v>205</v>
      </c>
      <c r="G121" t="s">
        <v>172</v>
      </c>
      <c r="H121" t="s">
        <v>205</v>
      </c>
      <c r="I121" t="s">
        <v>169</v>
      </c>
      <c r="J121"/>
      <c r="K121" t="s">
        <v>169</v>
      </c>
      <c r="L121" t="s">
        <v>206</v>
      </c>
      <c r="M121" t="s">
        <v>169</v>
      </c>
      <c r="N121" t="s">
        <v>206</v>
      </c>
    </row>
  </sheetData>
  <autoFilter ref="A2:N116" xr:uid="{06F2204D-767C-6545-BBF8-89DE90B18D86}"/>
  <sortState xmlns:xlrd2="http://schemas.microsoft.com/office/spreadsheetml/2017/richdata2" ref="A3:N121">
    <sortCondition ref="A3:A121" customList="リドル,エース,デュース,ケイト,トレイ,レオナ,ジャック,ラギー,アズール,ジェイド,フロイド,カリム,ジャミル,ヴィル,ルーク,エペル,イデア,オルト,マレウス,シルバー,セベク,リリア"/>
    <sortCondition ref="B3:B121"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7"/>
  <sheetViews>
    <sheetView workbookViewId="0">
      <pane ySplit="1" topLeftCell="A2" activePane="bottomLeft" state="frozen"/>
      <selection pane="bottomLeft" activeCell="C18" sqref="C18"/>
    </sheetView>
  </sheetViews>
  <sheetFormatPr baseColWidth="10" defaultRowHeight="20"/>
  <cols>
    <col min="1" max="1" width="21.42578125" customWidth="1"/>
    <col min="3" max="3" width="25.28515625" customWidth="1"/>
  </cols>
  <sheetData>
    <row r="1" spans="1:5">
      <c r="A1" t="s">
        <v>13</v>
      </c>
      <c r="B1" t="s">
        <v>12</v>
      </c>
      <c r="C1" t="s">
        <v>14</v>
      </c>
      <c r="D1" t="s">
        <v>73</v>
      </c>
      <c r="E1" t="s">
        <v>84</v>
      </c>
    </row>
    <row r="2" spans="1:5">
      <c r="A2" t="s">
        <v>10</v>
      </c>
      <c r="B2" t="s">
        <v>15</v>
      </c>
      <c r="C2" t="s">
        <v>16</v>
      </c>
      <c r="D2" t="s">
        <v>80</v>
      </c>
      <c r="E2">
        <v>1</v>
      </c>
    </row>
    <row r="3" spans="1:5">
      <c r="A3" t="s">
        <v>169</v>
      </c>
      <c r="B3" t="s">
        <v>15</v>
      </c>
      <c r="C3" t="s">
        <v>47</v>
      </c>
      <c r="D3" t="s">
        <v>80</v>
      </c>
      <c r="E3">
        <v>2</v>
      </c>
    </row>
    <row r="4" spans="1:5">
      <c r="A4" t="s">
        <v>33</v>
      </c>
      <c r="B4" t="s">
        <v>15</v>
      </c>
      <c r="C4" t="s">
        <v>34</v>
      </c>
      <c r="D4" t="s">
        <v>81</v>
      </c>
      <c r="E4">
        <v>1</v>
      </c>
    </row>
    <row r="5" spans="1:5">
      <c r="A5" t="s">
        <v>170</v>
      </c>
      <c r="B5" t="s">
        <v>15</v>
      </c>
      <c r="C5" t="s">
        <v>58</v>
      </c>
      <c r="D5" t="s">
        <v>81</v>
      </c>
      <c r="E5">
        <v>2</v>
      </c>
    </row>
    <row r="6" spans="1:5">
      <c r="A6" t="s">
        <v>26</v>
      </c>
      <c r="B6" t="s">
        <v>22</v>
      </c>
      <c r="C6" t="s">
        <v>54</v>
      </c>
      <c r="D6" t="s">
        <v>81</v>
      </c>
      <c r="E6">
        <v>1</v>
      </c>
    </row>
    <row r="7" spans="1:5">
      <c r="A7" t="s">
        <v>217</v>
      </c>
      <c r="B7" t="s">
        <v>22</v>
      </c>
      <c r="C7" t="s">
        <v>218</v>
      </c>
      <c r="D7" t="s">
        <v>85</v>
      </c>
      <c r="E7">
        <v>2</v>
      </c>
    </row>
    <row r="8" spans="1:5">
      <c r="A8" t="s">
        <v>23</v>
      </c>
      <c r="B8" t="s">
        <v>22</v>
      </c>
      <c r="C8" t="s">
        <v>61</v>
      </c>
      <c r="D8" t="s">
        <v>80</v>
      </c>
      <c r="E8">
        <v>1</v>
      </c>
    </row>
    <row r="9" spans="1:5">
      <c r="A9" t="s">
        <v>129</v>
      </c>
      <c r="B9" t="s">
        <v>22</v>
      </c>
      <c r="C9" t="s">
        <v>24</v>
      </c>
      <c r="D9" t="s">
        <v>80</v>
      </c>
      <c r="E9">
        <v>2</v>
      </c>
    </row>
    <row r="10" spans="1:5">
      <c r="A10" t="s">
        <v>36</v>
      </c>
      <c r="B10" t="s">
        <v>17</v>
      </c>
      <c r="C10" t="s">
        <v>38</v>
      </c>
      <c r="D10" t="s">
        <v>85</v>
      </c>
      <c r="E10">
        <v>1</v>
      </c>
    </row>
    <row r="11" spans="1:5">
      <c r="A11" t="s">
        <v>171</v>
      </c>
      <c r="B11" t="s">
        <v>17</v>
      </c>
      <c r="C11" t="s">
        <v>95</v>
      </c>
      <c r="D11" t="s">
        <v>85</v>
      </c>
      <c r="E11">
        <v>2</v>
      </c>
    </row>
    <row r="12" spans="1:5">
      <c r="A12" t="s">
        <v>20</v>
      </c>
      <c r="B12" t="s">
        <v>17</v>
      </c>
      <c r="C12" t="s">
        <v>55</v>
      </c>
      <c r="D12" t="s">
        <v>80</v>
      </c>
      <c r="E12">
        <v>1</v>
      </c>
    </row>
    <row r="13" spans="1:5">
      <c r="A13" t="s">
        <v>140</v>
      </c>
      <c r="B13" t="s">
        <v>17</v>
      </c>
      <c r="C13" t="s">
        <v>18</v>
      </c>
      <c r="D13" t="s">
        <v>80</v>
      </c>
      <c r="E13">
        <v>2</v>
      </c>
    </row>
    <row r="14" spans="1:5">
      <c r="A14" t="s">
        <v>39</v>
      </c>
      <c r="B14" t="s">
        <v>42</v>
      </c>
      <c r="C14" t="s">
        <v>56</v>
      </c>
      <c r="D14" t="s">
        <v>85</v>
      </c>
      <c r="E14">
        <v>1</v>
      </c>
    </row>
    <row r="15" spans="1:5">
      <c r="A15" t="s">
        <v>234</v>
      </c>
      <c r="B15" t="s">
        <v>42</v>
      </c>
      <c r="C15" t="s">
        <v>235</v>
      </c>
      <c r="D15" t="s">
        <v>85</v>
      </c>
      <c r="E15">
        <v>2</v>
      </c>
    </row>
    <row r="16" spans="1:5">
      <c r="A16" t="s">
        <v>59</v>
      </c>
      <c r="B16" t="s">
        <v>42</v>
      </c>
      <c r="C16" t="s">
        <v>60</v>
      </c>
      <c r="D16" t="s">
        <v>80</v>
      </c>
      <c r="E16">
        <v>1</v>
      </c>
    </row>
    <row r="17" spans="1:5">
      <c r="A17" t="s">
        <v>173</v>
      </c>
      <c r="B17" t="s">
        <v>42</v>
      </c>
      <c r="C17" t="s">
        <v>52</v>
      </c>
      <c r="D17" t="s">
        <v>80</v>
      </c>
      <c r="E17">
        <v>2</v>
      </c>
    </row>
  </sheetData>
  <sortState xmlns:xlrd2="http://schemas.microsoft.com/office/spreadsheetml/2017/richdata2" ref="A2:D17">
    <sortCondition ref="A2:A17"/>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sheetPr codeName="Sheet7"/>
  <dimension ref="B2:C25"/>
  <sheetViews>
    <sheetView workbookViewId="0">
      <selection activeCell="C13" sqref="C13"/>
    </sheetView>
  </sheetViews>
  <sheetFormatPr baseColWidth="10" defaultRowHeight="19" customHeight="1"/>
  <cols>
    <col min="2" max="2" width="21" customWidth="1"/>
    <col min="3" max="3" width="21.42578125" customWidth="1"/>
  </cols>
  <sheetData>
    <row r="2" spans="2:3" ht="19" customHeight="1">
      <c r="B2" t="s">
        <v>0</v>
      </c>
      <c r="C2" t="s">
        <v>8</v>
      </c>
    </row>
    <row r="3" spans="2:3" ht="19" customHeight="1">
      <c r="B3" t="s">
        <v>221</v>
      </c>
      <c r="C3" t="s">
        <v>221</v>
      </c>
    </row>
    <row r="4" spans="2:3" ht="19" customHeight="1">
      <c r="B4" t="s">
        <v>6</v>
      </c>
      <c r="C4" t="s">
        <v>9</v>
      </c>
    </row>
    <row r="5" spans="2:3" ht="19" customHeight="1">
      <c r="B5" t="s">
        <v>31</v>
      </c>
      <c r="C5" s="15" t="s">
        <v>187</v>
      </c>
    </row>
    <row r="6" spans="2:3" ht="19" customHeight="1">
      <c r="B6" t="s">
        <v>21</v>
      </c>
      <c r="C6" t="s">
        <v>19</v>
      </c>
    </row>
    <row r="7" spans="2:3" ht="19" customHeight="1">
      <c r="B7" t="s">
        <v>29</v>
      </c>
      <c r="C7" s="15" t="s">
        <v>188</v>
      </c>
    </row>
    <row r="8" spans="2:3" ht="19" customHeight="1">
      <c r="B8" t="s">
        <v>11</v>
      </c>
      <c r="C8" t="s">
        <v>25</v>
      </c>
    </row>
    <row r="9" spans="2:3" ht="19" customHeight="1">
      <c r="B9" t="s">
        <v>37</v>
      </c>
      <c r="C9" s="15" t="s">
        <v>179</v>
      </c>
    </row>
    <row r="10" spans="2:3" ht="19" customHeight="1">
      <c r="B10" t="s">
        <v>44</v>
      </c>
      <c r="C10" t="s">
        <v>28</v>
      </c>
    </row>
    <row r="11" spans="2:3" ht="19" customHeight="1">
      <c r="B11" t="s">
        <v>40</v>
      </c>
      <c r="C11" s="15" t="s">
        <v>178</v>
      </c>
    </row>
    <row r="12" spans="2:3" ht="19" customHeight="1">
      <c r="B12" t="s">
        <v>48</v>
      </c>
      <c r="C12" t="s">
        <v>32</v>
      </c>
    </row>
    <row r="13" spans="2:3" ht="19" customHeight="1">
      <c r="B13" t="s">
        <v>45</v>
      </c>
      <c r="C13" t="s">
        <v>244</v>
      </c>
    </row>
    <row r="14" spans="2:3" ht="19" customHeight="1">
      <c r="B14" t="s">
        <v>57</v>
      </c>
      <c r="C14" t="s">
        <v>50</v>
      </c>
    </row>
    <row r="15" spans="2:3" ht="19" customHeight="1">
      <c r="B15" t="s">
        <v>43</v>
      </c>
      <c r="C15" t="s">
        <v>53</v>
      </c>
    </row>
    <row r="16" spans="2:3" ht="19" customHeight="1">
      <c r="B16" t="s">
        <v>27</v>
      </c>
      <c r="C16" t="s">
        <v>68</v>
      </c>
    </row>
    <row r="17" spans="2:3" ht="19" customHeight="1">
      <c r="B17" t="s">
        <v>62</v>
      </c>
      <c r="C17" t="s">
        <v>236</v>
      </c>
    </row>
    <row r="18" spans="2:3" ht="19" customHeight="1">
      <c r="B18" t="s">
        <v>46</v>
      </c>
      <c r="C18" t="s">
        <v>237</v>
      </c>
    </row>
    <row r="19" spans="2:3" ht="19" customHeight="1">
      <c r="B19" t="s">
        <v>49</v>
      </c>
    </row>
    <row r="20" spans="2:3" ht="19" customHeight="1">
      <c r="B20" t="s">
        <v>30</v>
      </c>
    </row>
    <row r="21" spans="2:3" ht="19" customHeight="1">
      <c r="B21" t="s">
        <v>41</v>
      </c>
    </row>
    <row r="22" spans="2:3" ht="19" customHeight="1">
      <c r="B22" t="s">
        <v>51</v>
      </c>
    </row>
    <row r="23" spans="2:3" ht="19" customHeight="1">
      <c r="B23" t="s">
        <v>64</v>
      </c>
    </row>
    <row r="24" spans="2:3" ht="19" customHeight="1">
      <c r="B24" t="s">
        <v>63</v>
      </c>
    </row>
    <row r="25" spans="2:3" ht="19" customHeight="1">
      <c r="B25" t="s">
        <v>65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4"/>
  <sheetViews>
    <sheetView topLeftCell="A8" zoomScale="75" workbookViewId="0">
      <selection activeCell="A30" sqref="A30:XFD42"/>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79" t="s">
        <v>0</v>
      </c>
      <c r="D2" s="80"/>
      <c r="E2" s="80" t="s">
        <v>8</v>
      </c>
      <c r="F2" s="81"/>
      <c r="G2" s="64"/>
      <c r="H2" s="65"/>
      <c r="I2" s="79" t="s">
        <v>0</v>
      </c>
      <c r="J2" s="80"/>
      <c r="K2" s="80" t="s">
        <v>8</v>
      </c>
      <c r="L2" s="81"/>
      <c r="M2" s="64"/>
      <c r="N2" s="65"/>
      <c r="O2" s="79" t="s">
        <v>0</v>
      </c>
      <c r="P2" s="80"/>
      <c r="Q2" s="80" t="s">
        <v>8</v>
      </c>
      <c r="R2" s="81"/>
      <c r="S2" s="64"/>
      <c r="T2" s="65"/>
      <c r="U2" s="79" t="s">
        <v>0</v>
      </c>
      <c r="V2" s="80"/>
      <c r="W2" s="80" t="s">
        <v>8</v>
      </c>
      <c r="X2" s="81"/>
      <c r="Y2" s="64"/>
      <c r="Z2" s="65"/>
      <c r="AA2" s="79" t="s">
        <v>0</v>
      </c>
      <c r="AB2" s="80"/>
      <c r="AC2" s="80" t="s">
        <v>8</v>
      </c>
      <c r="AD2" s="81"/>
    </row>
    <row r="3" spans="2:30" ht="22" customHeight="1" thickBot="1">
      <c r="C3" s="87"/>
      <c r="D3" s="73"/>
      <c r="E3" s="73"/>
      <c r="F3" s="74"/>
      <c r="G3" s="64"/>
      <c r="H3" s="65"/>
      <c r="I3" s="87"/>
      <c r="J3" s="73"/>
      <c r="K3" s="73"/>
      <c r="L3" s="74"/>
      <c r="M3" s="64"/>
      <c r="N3" s="65"/>
      <c r="O3" s="87"/>
      <c r="P3" s="73"/>
      <c r="Q3" s="73"/>
      <c r="R3" s="74"/>
      <c r="S3" s="64"/>
      <c r="T3" s="65"/>
      <c r="U3" s="87"/>
      <c r="V3" s="73"/>
      <c r="W3" s="73"/>
      <c r="X3" s="74"/>
      <c r="Y3" s="64"/>
      <c r="Z3" s="65"/>
      <c r="AA3" s="87"/>
      <c r="AB3" s="73"/>
      <c r="AC3" s="73"/>
      <c r="AD3" s="74"/>
    </row>
    <row r="4" spans="2:30" ht="22" customHeight="1" thickBot="1">
      <c r="C4" s="1"/>
      <c r="D4" s="1"/>
      <c r="F4" s="1"/>
      <c r="G4" s="66"/>
      <c r="H4" s="66"/>
      <c r="I4" s="1"/>
      <c r="J4" s="1"/>
      <c r="L4" s="1"/>
      <c r="M4" s="66"/>
      <c r="N4" s="66"/>
      <c r="O4" s="1"/>
      <c r="P4" s="1"/>
      <c r="R4" s="1"/>
      <c r="S4" s="66"/>
      <c r="T4" s="66"/>
      <c r="U4" s="1"/>
      <c r="V4" s="1"/>
      <c r="X4" s="1"/>
      <c r="Y4" s="66"/>
      <c r="Z4" s="66"/>
      <c r="AA4" s="1"/>
      <c r="AB4" s="1"/>
      <c r="AD4" s="1"/>
    </row>
    <row r="5" spans="2:30" ht="21" thickBot="1">
      <c r="B5" s="5"/>
      <c r="C5" s="88" t="s">
        <v>69</v>
      </c>
      <c r="D5" s="89"/>
      <c r="E5" s="89"/>
      <c r="F5" s="90"/>
      <c r="G5" s="64"/>
      <c r="H5" s="65"/>
      <c r="I5" s="88" t="s">
        <v>69</v>
      </c>
      <c r="J5" s="89"/>
      <c r="K5" s="89"/>
      <c r="L5" s="90"/>
      <c r="M5" s="64"/>
      <c r="N5" s="65"/>
      <c r="O5" s="88" t="s">
        <v>69</v>
      </c>
      <c r="P5" s="89"/>
      <c r="Q5" s="89"/>
      <c r="R5" s="90"/>
      <c r="S5" s="64"/>
      <c r="T5" s="65"/>
      <c r="U5" s="88" t="s">
        <v>69</v>
      </c>
      <c r="V5" s="89"/>
      <c r="W5" s="89"/>
      <c r="X5" s="90"/>
      <c r="Y5" s="64"/>
      <c r="Z5" s="65"/>
      <c r="AA5" s="88" t="s">
        <v>69</v>
      </c>
      <c r="AB5" s="89"/>
      <c r="AC5" s="89"/>
      <c r="AD5" s="90"/>
    </row>
    <row r="6" spans="2:30" ht="21" thickBot="1">
      <c r="B6" s="3" t="s">
        <v>74</v>
      </c>
      <c r="C6" s="91">
        <f>IFERROR(DGET(カード一覧!$A:$Q,カード一覧!$P$1, C2:F3), )</f>
        <v>0</v>
      </c>
      <c r="D6" s="92"/>
      <c r="E6" s="92"/>
      <c r="F6" s="93"/>
      <c r="G6" s="64"/>
      <c r="H6" s="65"/>
      <c r="I6" s="83">
        <f>IFERROR(DGET(カード一覧!$A:$Q,カード一覧!$P$1, I2:L3), )</f>
        <v>0</v>
      </c>
      <c r="J6" s="86"/>
      <c r="K6" s="86"/>
      <c r="L6" s="84"/>
      <c r="M6" s="64"/>
      <c r="N6" s="65"/>
      <c r="O6" s="83">
        <f>IFERROR(DGET(カード一覧!$A:$Q,カード一覧!$P$1, O2:R3), )</f>
        <v>0</v>
      </c>
      <c r="P6" s="86"/>
      <c r="Q6" s="86"/>
      <c r="R6" s="84"/>
      <c r="S6" s="64"/>
      <c r="T6" s="65"/>
      <c r="U6" s="83">
        <f>IFERROR(DGET(カード一覧!$A:$Q,カード一覧!$P$1, U2:X3), )</f>
        <v>0</v>
      </c>
      <c r="V6" s="86"/>
      <c r="W6" s="86"/>
      <c r="X6" s="84"/>
      <c r="Y6" s="64"/>
      <c r="Z6" s="65"/>
      <c r="AA6" s="83">
        <f>IFERROR(DGET(カード一覧!$A:$Q,カード一覧!$P$1, AA2:AD3), )</f>
        <v>0</v>
      </c>
      <c r="AB6" s="86"/>
      <c r="AC6" s="86"/>
      <c r="AD6" s="84"/>
    </row>
    <row r="7" spans="2:30">
      <c r="B7" s="58" t="s">
        <v>71</v>
      </c>
      <c r="C7" s="51" t="str">
        <f>IF(COUNTIF($C$3:$AD$3,DGET(カード一覧!$A:$N,カード一覧!$N$1,C2:F3))&gt;0, DGET(カード一覧!$A:$N,カード一覧!$N$1,C2:F3), IF(COUNTIF($C$3:$AD$3,DGET(カード一覧!$A:$N,カード一覧!$M$1,C2:F3))&gt;0, DGET(カード一覧!$A:$N,カード一覧!$M$1,C2:F3), "カード選択"))</f>
        <v>カード選択</v>
      </c>
      <c r="D7" s="53" t="str">
        <f>IF(COUNTIF($C$3:$AD$3,DGET(カード一覧!$A:$N,カード一覧!$N$1,C2:F3))&gt;0, "中", IF(COUNTIF($C$3:$AD$3,DGET(カード一覧!$A:$M,カード一覧!$M$1,C2:F3))&gt;0, "小", "-"))</f>
        <v>-</v>
      </c>
      <c r="E7" s="77" t="str">
        <f>IFERROR(DGET(カード一覧!$A:$W,カード一覧!$R$1, C$2:F$3),"")</f>
        <v/>
      </c>
      <c r="F7" s="78"/>
      <c r="G7" s="66"/>
      <c r="H7" s="65"/>
      <c r="I7" s="25" t="str">
        <f>IF(COUNTIF($C$3:$AD$3,DGET(カード一覧!$A:$N,カード一覧!$N$1,I2:L3))&gt;0, DGET(カード一覧!$A:$N,カード一覧!$N$1,I2:L3), IF(COUNTIF($C$3:$AD$3,DGET(カード一覧!$A:$N,カード一覧!$M$1,I2:L3))&gt;0, DGET(カード一覧!$A:$N,カード一覧!$M$1,I2:L3), "カード選択"))</f>
        <v>カード選択</v>
      </c>
      <c r="J7" s="26" t="str">
        <f>IF(COUNTIF($C$3:$AD$3,DGET(カード一覧!$A:$N,カード一覧!$N$1,I2:L3))&gt;0, "中", IF(COUNTIF($C$3:$AD$3,DGET(カード一覧!$A:$M,カード一覧!$M$1,I2:L3))&gt;0, "小", "-"))</f>
        <v>-</v>
      </c>
      <c r="K7" s="77" t="str">
        <f>IFERROR(DGET(カード一覧!$A:$W,カード一覧!$R$1, I$2:L$3),"")</f>
        <v/>
      </c>
      <c r="L7" s="78"/>
      <c r="M7" s="64"/>
      <c r="N7" s="65"/>
      <c r="O7" s="25" t="str">
        <f>IF(COUNTIF($C$3:$AD$3,DGET(カード一覧!$A:$N,カード一覧!$N$1,O2:R3))&gt;0, DGET(カード一覧!$A:$N,カード一覧!$N$1,O2:R3), IF(COUNTIF($C$3:$AD$3,DGET(カード一覧!$A:$N,カード一覧!$M$1,O2:R3))&gt;0, DGET(カード一覧!$A:$N,カード一覧!$M$1,O2:R3), "カード選択"))</f>
        <v>カード選択</v>
      </c>
      <c r="P7" s="26" t="str">
        <f>IF(COUNTIF($C$3:$AD$3,DGET(カード一覧!$A:$N,カード一覧!$N$1,O2:R3))&gt;0, "中", IF(COUNTIF($C$3:$AD$3,DGET(カード一覧!$A:$M,カード一覧!$M$1,O2:R3))&gt;0, "小", "-"))</f>
        <v>-</v>
      </c>
      <c r="Q7" s="77" t="str">
        <f>IFERROR(DGET(カード一覧!$A:$W,カード一覧!$R$1, O$2:R$3),"")</f>
        <v/>
      </c>
      <c r="R7" s="78"/>
      <c r="S7" s="64"/>
      <c r="T7" s="65"/>
      <c r="U7" s="25" t="str">
        <f>IF(COUNTIF($C$3:$AD$3,DGET(カード一覧!$A:$N,カード一覧!$N$1,U2:X3))&gt;0, DGET(カード一覧!$A:$N,カード一覧!$N$1,U2:X3), IF(COUNTIF($C$3:$AD$3,DGET(カード一覧!$A:$N,カード一覧!$M$1,U2:X3))&gt;0, DGET(カード一覧!$A:$N,カード一覧!$M$1,U2:X3), "カード選択"))</f>
        <v>カード選択</v>
      </c>
      <c r="V7" s="26" t="str">
        <f>IF(COUNTIF($C$3:$AD$3,DGET(カード一覧!$A:$N,カード一覧!$N$1,U2:X3))&gt;0, "中", IF(COUNTIF($C$3:$AD$3,DGET(カード一覧!$A:$M,カード一覧!$M$1,U2:X3))&gt;0, "小", "-"))</f>
        <v>-</v>
      </c>
      <c r="W7" s="77" t="str">
        <f>IFERROR(DGET(カード一覧!$A:$W,カード一覧!$R$1, U$2:X$3),"")</f>
        <v/>
      </c>
      <c r="X7" s="78"/>
      <c r="Y7" s="64"/>
      <c r="Z7" s="65"/>
      <c r="AA7" s="25" t="str">
        <f>IF(COUNTIF($C$3:$AD$3,DGET(カード一覧!$A:$N,カード一覧!$N$1,AA2:AD3))&gt;0, DGET(カード一覧!$A:$N,カード一覧!$N$1,AA2:AD3), IF(COUNTIF($C$3:$AD$3,DGET(カード一覧!$A:$N,カード一覧!$M$1,AA2:AD3))&gt;0, DGET(カード一覧!$A:$N,カード一覧!$M$1,AA2:AD3), "カード選択"))</f>
        <v>カード選択</v>
      </c>
      <c r="AB7" s="26" t="str">
        <f>IF(COUNTIF($C$3:$AD$3,DGET(カード一覧!$A:$N,カード一覧!$N$1,AA2:AD3))&gt;0, "中", IF(COUNTIF($C$3:$AD$3,DGET(カード一覧!$A:$M,カード一覧!$M$1,AA2:AD3))&gt;0, "小", "-"))</f>
        <v>-</v>
      </c>
      <c r="AC7" s="77" t="str">
        <f>IFERROR(DGET(カード一覧!$A:$W,カード一覧!$R$1, AA$2:AD$3),"")</f>
        <v/>
      </c>
      <c r="AD7" s="78"/>
    </row>
    <row r="8" spans="2:30" ht="21" thickBot="1">
      <c r="B8" s="59"/>
      <c r="C8" s="27" t="str">
        <f>IF(COUNTIF($C$3:$AD$3,DGET(カード一覧!$A:$N,カード一覧!$L$1,C2:F3))&gt;0, DGET(カード一覧!$A:$N,カード一覧!$L$1,C2:F3), "カード選択")</f>
        <v>カード選択</v>
      </c>
      <c r="D8" s="54" t="str">
        <f>IF(COUNTIF($C$3:$AD$3,DGET(カード一覧!$A:$N,カード一覧!$L$1,C2:F3))&gt;0,"小","-")</f>
        <v>-</v>
      </c>
      <c r="E8" s="73" t="str">
        <f>IFERROR(DGET(カード一覧!$A:$W,カード一覧!$S$1, C$2:F$3),"")</f>
        <v/>
      </c>
      <c r="F8" s="74"/>
      <c r="G8" s="66"/>
      <c r="H8" s="65"/>
      <c r="I8" s="27" t="str">
        <f>IF(COUNTIF($C$3:$AD$3,DGET(カード一覧!$A:$N,カード一覧!$L$1,I2:L3))&gt;0, DGET(カード一覧!$A:$N,カード一覧!$L$1,I2:L3), "カード選択")</f>
        <v>カード選択</v>
      </c>
      <c r="J8" s="28" t="str">
        <f>IF(COUNTIF($C$3:$AD$3,DGET(カード一覧!$A:$N,カード一覧!$L$1,I2:L3))&gt;0,"小","-")</f>
        <v>-</v>
      </c>
      <c r="K8" s="73" t="str">
        <f>IFERROR(DGET(カード一覧!$A:$W,カード一覧!$S$1, I$2:L$3),"")</f>
        <v/>
      </c>
      <c r="L8" s="74"/>
      <c r="M8" s="64"/>
      <c r="N8" s="65"/>
      <c r="O8" s="27" t="str">
        <f>IF(COUNTIF($C$3:$AD$3,DGET(カード一覧!$A:$N,カード一覧!$L$1,O2:R3))&gt;0, DGET(カード一覧!$A:$N,カード一覧!$L$1,O2:R3), "カード選択")</f>
        <v>カード選択</v>
      </c>
      <c r="P8" s="28" t="str">
        <f>IF(COUNTIF($C$3:$AD$3,DGET(カード一覧!$A:$N,カード一覧!$L$1,O2:R3))&gt;0,"小","-")</f>
        <v>-</v>
      </c>
      <c r="Q8" s="73" t="str">
        <f>IFERROR(DGET(カード一覧!$A:$W,カード一覧!$S$1, O$2:R$3),"")</f>
        <v/>
      </c>
      <c r="R8" s="74"/>
      <c r="S8" s="64"/>
      <c r="T8" s="65"/>
      <c r="U8" s="27" t="str">
        <f>IF(COUNTIF($C$3:$AD$3,DGET(カード一覧!$A:$N,カード一覧!$L$1,U2:X3))&gt;0, DGET(カード一覧!$A:$N,カード一覧!$L$1,U2:X3), "カード選択")</f>
        <v>カード選択</v>
      </c>
      <c r="V8" s="28" t="str">
        <f>IF(COUNTIF($C$3:$AD$3,DGET(カード一覧!$A:$N,カード一覧!$L$1,U2:X3))&gt;0,"小","-")</f>
        <v>-</v>
      </c>
      <c r="W8" s="73" t="str">
        <f>IFERROR(DGET(カード一覧!$A:$W,カード一覧!$S$1, U$2:X$3),"")</f>
        <v/>
      </c>
      <c r="X8" s="74"/>
      <c r="Y8" s="64"/>
      <c r="Z8" s="65"/>
      <c r="AA8" s="27" t="str">
        <f>IF(COUNTIF($C$3:$AD$3,DGET(カード一覧!$A:$N,カード一覧!$L$1,AA2:AD3))&gt;0, DGET(カード一覧!$A:$N,カード一覧!$L$1,AA2:AD3), "カード選択")</f>
        <v>カード選択</v>
      </c>
      <c r="AB8" s="28" t="str">
        <f>IF(COUNTIF($C$3:$AD$3,DGET(カード一覧!$A:$N,カード一覧!$L$1,AA2:AD3))&gt;0,"小","-")</f>
        <v>-</v>
      </c>
      <c r="AC8" s="73" t="str">
        <f>IFERROR(DGET(カード一覧!$A:$W,カード一覧!$S$1, AA$2:AD$3),"")</f>
        <v/>
      </c>
      <c r="AD8" s="74"/>
    </row>
    <row r="9" spans="2:30" ht="21" thickBot="1">
      <c r="B9" s="2"/>
      <c r="G9" s="66"/>
      <c r="H9" s="66"/>
      <c r="M9" s="66"/>
      <c r="N9" s="66"/>
      <c r="S9" s="66"/>
      <c r="T9" s="66"/>
      <c r="Y9" s="66"/>
      <c r="Z9" s="66"/>
    </row>
    <row r="10" spans="2:30" ht="21" thickBot="1">
      <c r="B10" s="2"/>
      <c r="C10" s="71" t="s">
        <v>70</v>
      </c>
      <c r="D10" s="85"/>
      <c r="E10" s="85"/>
      <c r="F10" s="72"/>
      <c r="G10" s="64"/>
      <c r="H10" s="65"/>
      <c r="I10" s="71" t="s">
        <v>70</v>
      </c>
      <c r="J10" s="85"/>
      <c r="K10" s="85"/>
      <c r="L10" s="72"/>
      <c r="M10" s="64"/>
      <c r="N10" s="65"/>
      <c r="O10" s="71" t="s">
        <v>70</v>
      </c>
      <c r="P10" s="85"/>
      <c r="Q10" s="85"/>
      <c r="R10" s="72"/>
      <c r="S10" s="64"/>
      <c r="T10" s="65"/>
      <c r="U10" s="71" t="s">
        <v>70</v>
      </c>
      <c r="V10" s="85"/>
      <c r="W10" s="85"/>
      <c r="X10" s="72"/>
      <c r="Y10" s="64"/>
      <c r="Z10" s="65"/>
      <c r="AA10" s="71" t="s">
        <v>70</v>
      </c>
      <c r="AB10" s="85"/>
      <c r="AC10" s="85"/>
      <c r="AD10" s="72"/>
    </row>
    <row r="11" spans="2:30" ht="21" thickBot="1">
      <c r="B11" s="10" t="s">
        <v>74</v>
      </c>
      <c r="C11" s="91">
        <f>IFERROR(DGET(カード一覧!$A:$Q,カード一覧!$Q$1, C2:F3), )</f>
        <v>0</v>
      </c>
      <c r="D11" s="92"/>
      <c r="E11" s="92"/>
      <c r="F11" s="93"/>
      <c r="G11" s="64"/>
      <c r="H11" s="65"/>
      <c r="I11" s="83">
        <f>IFERROR(DGET(カード一覧!$A:$Q,カード一覧!$Q$1, I2:L3), )</f>
        <v>0</v>
      </c>
      <c r="J11" s="86"/>
      <c r="K11" s="86"/>
      <c r="L11" s="84"/>
      <c r="M11" s="64"/>
      <c r="N11" s="65"/>
      <c r="O11" s="83">
        <f>IFERROR(DGET(カード一覧!$A:$Q,カード一覧!$Q$1, O2:R3), )</f>
        <v>0</v>
      </c>
      <c r="P11" s="86"/>
      <c r="Q11" s="86"/>
      <c r="R11" s="84"/>
      <c r="S11" s="64"/>
      <c r="T11" s="65"/>
      <c r="U11" s="83">
        <f>IFERROR(DGET(カード一覧!$A:$Q,カード一覧!$Q$1, U2:X3), )</f>
        <v>0</v>
      </c>
      <c r="V11" s="86"/>
      <c r="W11" s="86"/>
      <c r="X11" s="84"/>
      <c r="Y11" s="64"/>
      <c r="Z11" s="65"/>
      <c r="AA11" s="83">
        <f>IFERROR(DGET(カード一覧!$A:$Q,カード一覧!$Q$1, AA2:AD3), )</f>
        <v>0</v>
      </c>
      <c r="AB11" s="86"/>
      <c r="AC11" s="86"/>
      <c r="AD11" s="84"/>
    </row>
    <row r="12" spans="2:30">
      <c r="B12" s="58" t="s">
        <v>71</v>
      </c>
      <c r="C12" s="29" t="str">
        <f>IF(COUNTIF($C$3:$AD$3,DGET(カード一覧!$A:$N,カード一覧!$K$1,C2:F3))&gt;0, DGET(カード一覧!$A:$N,カード一覧!$K$1,C2:F3), IF(COUNTIF($C$3:$AD$3,DGET(カード一覧!$A:$N,カード一覧!$J$1,C2:F3))&gt;0, DGET(カード一覧!$A:$N,カード一覧!$J$1,C2:F3), "カード選択"))</f>
        <v>カード選択</v>
      </c>
      <c r="D12" s="52" t="str">
        <f>IF(COUNTIF($C$3:$AD$3,DGET(カード一覧!$A:$N,カード一覧!$K$1,C2:F3))&gt;0, "中", IF(COUNTIF($C$3:$AD$3, DGET(カード一覧!$A:$N,カード一覧!$J$1,C2:F3))&gt;0, "小", "-"))</f>
        <v>-</v>
      </c>
      <c r="E12" s="77" t="str">
        <f>IFERROR(DGET(カード一覧!$A:$W,カード一覧!$T$1, C$2:F$3),"")</f>
        <v/>
      </c>
      <c r="F12" s="78"/>
      <c r="G12" s="66"/>
      <c r="H12" s="65"/>
      <c r="I12" s="29" t="str">
        <f>IF(COUNTIF($C$3:$AD$3,DGET(カード一覧!$A:$N,カード一覧!$K$1,I2:L3))&gt;0, DGET(カード一覧!$A:$N,カード一覧!$K$1,I2:L3), IF(COUNTIF($C$3:$AD$3,DGET(カード一覧!$A:$N,カード一覧!$J$1,I2:L3))&gt;0, DGET(カード一覧!$A:$N,カード一覧!$J$1,I2:L3), "カード選択"))</f>
        <v>カード選択</v>
      </c>
      <c r="J12" s="52" t="str">
        <f>IF(COUNTIF($C$3:$AD$3,DGET(カード一覧!$A:$N,カード一覧!$K$1,I2:L3))&gt;0, "中", IF(COUNTIF($C$3:$AD$3, DGET(カード一覧!$A:$N,カード一覧!$J$1,I2:L3))&gt;0, "小", "-"))</f>
        <v>-</v>
      </c>
      <c r="K12" s="77" t="str">
        <f>IFERROR(DGET(カード一覧!$A:$W,カード一覧!$T$1, I$2:L$3),"")</f>
        <v/>
      </c>
      <c r="L12" s="78"/>
      <c r="M12" s="64"/>
      <c r="N12" s="65"/>
      <c r="O12" s="29" t="str">
        <f>IF(COUNTIF($C$3:$AD$3,DGET(カード一覧!$A:$N,カード一覧!$K$1,O2:R3))&gt;0, DGET(カード一覧!$A:$N,カード一覧!$K$1,O2:R3), IF(COUNTIF($C$3:$AD$3,DGET(カード一覧!$A:$N,カード一覧!$J$1,O2:R3))&gt;0, DGET(カード一覧!$A:$N,カード一覧!$J$1,O2:R3), "カード選択"))</f>
        <v>カード選択</v>
      </c>
      <c r="P12" s="52" t="str">
        <f>IF(COUNTIF($C$3:$AD$3,DGET(カード一覧!$A:$N,カード一覧!$K$1,O2:R3))&gt;0, "中", IF(COUNTIF($C$3:$AD$3, DGET(カード一覧!$A:$N,カード一覧!$J$1,O2:R3))&gt;0, "小", "-"))</f>
        <v>-</v>
      </c>
      <c r="Q12" s="77" t="str">
        <f>IFERROR(DGET(カード一覧!$A:$W,カード一覧!$T$1, O$2:R$3),"")</f>
        <v/>
      </c>
      <c r="R12" s="78"/>
      <c r="S12" s="64"/>
      <c r="T12" s="65"/>
      <c r="U12" s="29" t="str">
        <f>IF(COUNTIF($C$3:$AD$3,DGET(カード一覧!$A:$N,カード一覧!$K$1,U2:X3))&gt;0, DGET(カード一覧!$A:$N,カード一覧!$K$1,U2:X3), IF(COUNTIF($C$3:$AD$3,DGET(カード一覧!$A:$N,カード一覧!$J$1,U2:X3))&gt;0, DGET(カード一覧!$A:$N,カード一覧!$J$1,U2:X3), "カード選択"))</f>
        <v>カード選択</v>
      </c>
      <c r="V12" s="52" t="str">
        <f>IF(COUNTIF($C$3:$AD$3,DGET(カード一覧!$A:$N,カード一覧!$K$1,U2:X3))&gt;0, "中", IF(COUNTIF($C$3:$AD$3, DGET(カード一覧!$A:$N,カード一覧!$J$1,U2:X3))&gt;0, "小", "-"))</f>
        <v>-</v>
      </c>
      <c r="W12" s="77" t="str">
        <f>IFERROR(DGET(カード一覧!$A:$W,カード一覧!$T$1, U$2:X$3),"")</f>
        <v/>
      </c>
      <c r="X12" s="78"/>
      <c r="Y12" s="64"/>
      <c r="Z12" s="65"/>
      <c r="AA12" s="29" t="str">
        <f>IF(COUNTIF($C$3:$AD$3,DGET(カード一覧!$A:$N,カード一覧!$K$1,AA2:AD3))&gt;0, DGET(カード一覧!$A:$N,カード一覧!$K$1,AA2:AD3), IF(COUNTIF($C$3:$AD$3,DGET(カード一覧!$A:$N,カード一覧!$J$1,AA2:AD3))&gt;0, DGET(カード一覧!$A:$N,カード一覧!$J$1,AA2:AD3), "カード選択"))</f>
        <v>カード選択</v>
      </c>
      <c r="AB12" s="52" t="str">
        <f>IF(COUNTIF($C$3:$AD$3,DGET(カード一覧!$A:$N,カード一覧!$K$1,AA2:AD3))&gt;0, "中", IF(COUNTIF($C$3:$AD$3, DGET(カード一覧!$A:$N,カード一覧!$J$1,AA2:AD3))&gt;0, "小", "-"))</f>
        <v>-</v>
      </c>
      <c r="AC12" s="77" t="str">
        <f>IFERROR(DGET(カード一覧!$A:$W,カード一覧!$T$1, AA$2:AD$3),"")</f>
        <v/>
      </c>
      <c r="AD12" s="78"/>
    </row>
    <row r="13" spans="2:30" ht="21" thickBot="1">
      <c r="B13" s="59"/>
      <c r="C13" s="30" t="str">
        <f>IF(COUNTIF($C$3:$AD$3,DGET(カード一覧!$A:$N,カード一覧!$I$1,C2:F3))&gt;0, DGET(カード一覧!$A:$N,カード一覧!$I$1,C2:F3), "カード選択")</f>
        <v>カード選択</v>
      </c>
      <c r="D13" s="28" t="str">
        <f>IF(COUNTIF($C$3:$AD$3,DGET(カード一覧!$A:$N,カード一覧!$I$1,C2:F3))&gt;0, "小", "-")</f>
        <v>-</v>
      </c>
      <c r="E13" s="73" t="str">
        <f>IFERROR(DGET(カード一覧!$A:$W,カード一覧!$U$1, C$2:F$3),"")</f>
        <v/>
      </c>
      <c r="F13" s="74"/>
      <c r="G13" s="66"/>
      <c r="H13" s="65"/>
      <c r="I13" s="30" t="str">
        <f>IF(COUNTIF($C$3:$AD$3,DGET(カード一覧!$A:$N,カード一覧!$I$1,I2:L3))&gt;0, DGET(カード一覧!$A:$N,カード一覧!$I$1,I2:L3), "カード選択")</f>
        <v>カード選択</v>
      </c>
      <c r="J13" s="28" t="str">
        <f>IF(COUNTIF($C$3:$AD$3,DGET(カード一覧!$A:$N,カード一覧!$I$1,I2:L3))&gt;0, "小", "-")</f>
        <v>-</v>
      </c>
      <c r="K13" s="73" t="str">
        <f>IFERROR(DGET(カード一覧!$A:$W,カード一覧!$U$1, I$2:L$3),"")</f>
        <v/>
      </c>
      <c r="L13" s="74"/>
      <c r="M13" s="64"/>
      <c r="N13" s="65"/>
      <c r="O13" s="30" t="str">
        <f>IF(COUNTIF($C$3:$AD$3,DGET(カード一覧!$A:$N,カード一覧!$I$1,O2:R3))&gt;0, DGET(カード一覧!$A:$N,カード一覧!$I$1,O2:R3), "カード選択")</f>
        <v>カード選択</v>
      </c>
      <c r="P13" s="28" t="str">
        <f>IF(COUNTIF($C$3:$AD$3,DGET(カード一覧!$A:$N,カード一覧!$I$1,O2:R3))&gt;0, "小", "-")</f>
        <v>-</v>
      </c>
      <c r="Q13" s="73" t="str">
        <f>IFERROR(DGET(カード一覧!$A:$W,カード一覧!$U$1, O$2:R$3),"")</f>
        <v/>
      </c>
      <c r="R13" s="74"/>
      <c r="S13" s="64"/>
      <c r="T13" s="65"/>
      <c r="U13" s="30" t="str">
        <f>IF(COUNTIF($C$3:$AD$3,DGET(カード一覧!$A:$N,カード一覧!$I$1,U2:X3))&gt;0, DGET(カード一覧!$A:$N,カード一覧!$I$1,U2:X3), "カード選択")</f>
        <v>カード選択</v>
      </c>
      <c r="V13" s="28" t="str">
        <f>IF(COUNTIF($C$3:$AD$3,DGET(カード一覧!$A:$N,カード一覧!$I$1,U2:X3))&gt;0, "小", "-")</f>
        <v>-</v>
      </c>
      <c r="W13" s="73" t="str">
        <f>IFERROR(DGET(カード一覧!$A:$W,カード一覧!$U$1, U$2:X$3),"")</f>
        <v/>
      </c>
      <c r="X13" s="74"/>
      <c r="Y13" s="64"/>
      <c r="Z13" s="65"/>
      <c r="AA13" s="30" t="str">
        <f>IF(COUNTIF($C$3:$AD$3,DGET(カード一覧!$A:$N,カード一覧!$I$1,AA2:AD3))&gt;0, DGET(カード一覧!$A:$N,カード一覧!$I$1,AA2:AD3), "カード選択")</f>
        <v>カード選択</v>
      </c>
      <c r="AB13" s="28" t="str">
        <f>IF(COUNTIF($C$3:$AD$3,DGET(カード一覧!$A:$N,カード一覧!$I$1,AA2:AD3))&gt;0, "小", "-")</f>
        <v>-</v>
      </c>
      <c r="AC13" s="73" t="str">
        <f>IFERROR(DGET(カード一覧!$A:$W,カード一覧!$U$1, AA$2:AD$3),"")</f>
        <v/>
      </c>
      <c r="AD13" s="74"/>
    </row>
    <row r="14" spans="2:30" ht="21" thickBot="1">
      <c r="B14" s="8" t="s">
        <v>83</v>
      </c>
      <c r="C14" s="62" t="str">
        <f>IFERROR(IF(C16&lt;5, DGET(MAGIC詳細!$A$2:$N$116,MAGIC詳細!$C$2,C2:F3),IF(C16&lt;10, DGET(MAGIC詳細!$A$2:$N$116,MAGIC詳細!$E$2,C2:F3), IF(C16=10, DGET(MAGIC詳細!$A$2:$N$116,MAGIC詳細!$G$2,C2:F3), "カード選択"))), "カード選択")</f>
        <v>カード選択</v>
      </c>
      <c r="D14" s="63"/>
      <c r="E14" s="94" t="str">
        <f>IFERROR(IF(E16&lt;5, DGET(MAGIC詳細!$A$2:$N$116,MAGIC詳細!$I$2,C2:F3),IF(E16&lt;10, DGET(MAGIC詳細!$A$2:$N$116,MAGIC詳細!$K$2,C2:F3), IF(E16=10, DGET(MAGIC詳細!$A$2:$N$116,MAGIC詳細!$M$2,C2:F3), "カード選択"))), "カード選択")</f>
        <v>カード選択</v>
      </c>
      <c r="F14" s="95"/>
      <c r="G14" s="64"/>
      <c r="H14" s="65"/>
      <c r="I14" s="71" t="str">
        <f>IFERROR(IF(I16&lt;5, DGET(MAGIC詳細!$A$2:$N$116,MAGIC詳細!$C$2,I2:L3),IF(I16&lt;10, DGET(MAGIC詳細!$A$2:$N$116,MAGIC詳細!$E$2,I2:L3), IF(I16=10, DGET(MAGIC詳細!$A$2:$N$116,MAGIC詳細!$G$2,I2:L3), "カード選択"))), "カード選択")</f>
        <v>カード選択</v>
      </c>
      <c r="J14" s="72"/>
      <c r="K14" s="75" t="str">
        <f>IFERROR(IF(K16&lt;5, DGET(MAGIC詳細!$A$2:$N$116,MAGIC詳細!$I$2,I2:L3),IF(K16&lt;10, DGET(MAGIC詳細!$A$2:$N$116,MAGIC詳細!$K$2,I2:L3), IF(K16=10, DGET(MAGIC詳細!$A$2:$N$116,MAGIC詳細!$M$2,I2:L3), "カード選択"))), "カード選択")</f>
        <v>カード選択</v>
      </c>
      <c r="L14" s="76"/>
      <c r="M14" s="64"/>
      <c r="N14" s="65"/>
      <c r="O14" s="71" t="str">
        <f>IFERROR(IF(O16&lt;5, DGET(MAGIC詳細!$A$2:$N$116,MAGIC詳細!$C$2,O2:R3),IF(O16&lt;10, DGET(MAGIC詳細!$A$2:$N$116,MAGIC詳細!$E$2,O2:R3), IF(O16=10, DGET(MAGIC詳細!$A$2:$N$116,MAGIC詳細!$G$2,O2:R3), "カード選択"))), "カード選択")</f>
        <v>カード選択</v>
      </c>
      <c r="P14" s="72"/>
      <c r="Q14" s="75" t="str">
        <f>IFERROR(IF(Q16&lt;5, DGET(MAGIC詳細!$A$2:$N$116,MAGIC詳細!$I$2,O2:R3),IF(Q16&lt;10, DGET(MAGIC詳細!$A$2:$N$116,MAGIC詳細!$K$2,O2:R3), IF(Q16=10, DGET(MAGIC詳細!$A$2:$N$116,MAGIC詳細!$M$2,O2:R3), "カード選択"))), "カード選択")</f>
        <v>カード選択</v>
      </c>
      <c r="R14" s="76"/>
      <c r="S14" s="64"/>
      <c r="T14" s="65"/>
      <c r="U14" s="71" t="str">
        <f>IFERROR(IF(U16&lt;5, DGET(MAGIC詳細!$A$2:$N$116,MAGIC詳細!$C$2,U2:X3),IF(U16&lt;10, DGET(MAGIC詳細!$A$2:$N$116,MAGIC詳細!$E$2,U2:X3), IF(U16=10, DGET(MAGIC詳細!$A$2:$N$116,MAGIC詳細!$G$2,U2:X3), "カード選択"))), "カード選択")</f>
        <v>カード選択</v>
      </c>
      <c r="V14" s="72"/>
      <c r="W14" s="75" t="str">
        <f>IFERROR(IF(W16&lt;5, DGET(MAGIC詳細!$A$2:$N$116,MAGIC詳細!$I$2,U2:X3),IF(W16&lt;10, DGET(MAGIC詳細!$A$2:$N$116,MAGIC詳細!$K$2,U2:X3), IF(W16=10, DGET(MAGIC詳細!$A$2:$N$116,MAGIC詳細!$M$2,U2:X3), "カード選択"))), "カード選択")</f>
        <v>カード選択</v>
      </c>
      <c r="X14" s="76"/>
      <c r="Y14" s="64"/>
      <c r="Z14" s="65"/>
      <c r="AA14" s="71" t="str">
        <f>IFERROR(IF(AA16&lt;5, DGET(MAGIC詳細!$A$2:$N$116,MAGIC詳細!$C$2,AA2:AD3),IF(AA16&lt;10, DGET(MAGIC詳細!$A$2:$N$116,MAGIC詳細!$E$2,AA2:AD3), IF(AA16=10, DGET(MAGIC詳細!$A$2:$N$116,MAGIC詳細!$G$2,AA2:AD3), "カード選択"))), "カード選択")</f>
        <v>カード選択</v>
      </c>
      <c r="AB14" s="72"/>
      <c r="AC14" s="75" t="str">
        <f>IFERROR(IF(AC16&lt;5, DGET(MAGIC詳細!$A$2:$N$116,MAGIC詳細!$I$2,AA2:AD3),IF(AC16&lt;10, DGET(MAGIC詳細!$A$2:$N$116,MAGIC詳細!$K$2,AA2:AD3), IF(AC16=10, DGET(MAGIC詳細!$A$2:$N$116,MAGIC詳細!$M$2,AA2:AD3), "カード選択"))), "カード選択")</f>
        <v>カード選択</v>
      </c>
      <c r="AD14" s="76"/>
    </row>
    <row r="15" spans="2:30" ht="21" thickBot="1">
      <c r="B15" s="8" t="s">
        <v>88</v>
      </c>
      <c r="C15" s="71" t="str">
        <f>IFERROR(VLOOKUP(C$14,魔法一覧!$A$2:$E$17,2,FALSE),"カード選択")</f>
        <v>カード選択</v>
      </c>
      <c r="D15" s="72"/>
      <c r="E15" s="71" t="str">
        <f>IFERROR(VLOOKUP(E$14,魔法一覧!$A$2:$E$17,2,FALSE),"カード選択")</f>
        <v>カード選択</v>
      </c>
      <c r="F15" s="72"/>
      <c r="G15" s="64"/>
      <c r="H15" s="65"/>
      <c r="I15" s="71" t="str">
        <f>IFERROR(VLOOKUP(I$14,魔法一覧!$A$2:$E$17,2,FALSE),"カード選択")</f>
        <v>カード選択</v>
      </c>
      <c r="J15" s="72"/>
      <c r="K15" s="71" t="str">
        <f>IFERROR(VLOOKUP(K$14,魔法一覧!$A$2:$E$17,2,FALSE),"カード選択")</f>
        <v>カード選択</v>
      </c>
      <c r="L15" s="72"/>
      <c r="M15" s="64"/>
      <c r="N15" s="65"/>
      <c r="O15" s="71" t="str">
        <f>IFERROR(VLOOKUP(O$14,魔法一覧!$A$2:$E$17,2,FALSE),"カード選択")</f>
        <v>カード選択</v>
      </c>
      <c r="P15" s="72"/>
      <c r="Q15" s="71" t="str">
        <f>IFERROR(VLOOKUP(Q$14,魔法一覧!$A$2:$E$17,2,FALSE),"カード選択")</f>
        <v>カード選択</v>
      </c>
      <c r="R15" s="72"/>
      <c r="S15" s="64"/>
      <c r="T15" s="65"/>
      <c r="U15" s="71" t="str">
        <f>IFERROR(VLOOKUP(U$14,魔法一覧!$A$2:$E$17,2,FALSE),"カード選択")</f>
        <v>カード選択</v>
      </c>
      <c r="V15" s="72"/>
      <c r="W15" s="71" t="str">
        <f>IFERROR(VLOOKUP(W$14,魔法一覧!$A$2:$E$17,2,FALSE),"カード選択")</f>
        <v>カード選択</v>
      </c>
      <c r="X15" s="72"/>
      <c r="Y15" s="64"/>
      <c r="Z15" s="65"/>
      <c r="AA15" s="71" t="str">
        <f>IFERROR(VLOOKUP(AA$14,魔法一覧!$A$2:$E$17,2,FALSE),"カード選択")</f>
        <v>カード選択</v>
      </c>
      <c r="AB15" s="72"/>
      <c r="AC15" s="71" t="str">
        <f>IFERROR(VLOOKUP(AC$14,魔法一覧!$A$2:$E$17,2,FALSE),"カード選択")</f>
        <v>カード選択</v>
      </c>
      <c r="AD15" s="72"/>
    </row>
    <row r="16" spans="2:30" ht="21" thickBot="1">
      <c r="B16" s="10" t="s">
        <v>79</v>
      </c>
      <c r="C16" s="69" t="str">
        <f>IFERROR(DGET(カード一覧!$A:$W,カード一覧!$V$1, C$2:F$3),"")</f>
        <v/>
      </c>
      <c r="D16" s="70"/>
      <c r="E16" s="69" t="str">
        <f>IFERROR(DGET(カード一覧!$A:$W,カード一覧!$W$1, C$2:F$3),"")</f>
        <v/>
      </c>
      <c r="F16" s="70"/>
      <c r="G16" s="64"/>
      <c r="H16" s="65"/>
      <c r="I16" s="69" t="str">
        <f>IFERROR(DGET(カード一覧!$A:$W,カード一覧!$V$1, I$2:L$3),"")</f>
        <v/>
      </c>
      <c r="J16" s="70"/>
      <c r="K16" s="69" t="str">
        <f>IFERROR(DGET(カード一覧!$A:$W,カード一覧!$W$1, I$2:L$3),"")</f>
        <v/>
      </c>
      <c r="L16" s="70"/>
      <c r="M16" s="64"/>
      <c r="N16" s="65"/>
      <c r="O16" s="69" t="str">
        <f>IFERROR(DGET(カード一覧!$A:$W,カード一覧!$V$1, O$2:R$3),"")</f>
        <v/>
      </c>
      <c r="P16" s="70"/>
      <c r="Q16" s="69" t="str">
        <f>IFERROR(DGET(カード一覧!$A:$W,カード一覧!$W$1, O$2:R$3),"")</f>
        <v/>
      </c>
      <c r="R16" s="70"/>
      <c r="S16" s="64"/>
      <c r="T16" s="65"/>
      <c r="U16" s="69" t="str">
        <f>IFERROR(DGET(カード一覧!$A:$W,カード一覧!$V$1, U$2:X$3),"")</f>
        <v/>
      </c>
      <c r="V16" s="70"/>
      <c r="W16" s="69" t="str">
        <f>IFERROR(DGET(カード一覧!$A:$W,カード一覧!$W$1, U$2:X$3),"")</f>
        <v/>
      </c>
      <c r="X16" s="70"/>
      <c r="Y16" s="64"/>
      <c r="Z16" s="65"/>
      <c r="AA16" s="69" t="str">
        <f>IFERROR(DGET(カード一覧!$A:$W,カード一覧!$V$1, AA$2:AD$3),"")</f>
        <v/>
      </c>
      <c r="AB16" s="70"/>
      <c r="AC16" s="69" t="str">
        <f>IFERROR(DGET(カード一覧!$A:$W,カード一覧!$W$1, AA$2:AD$3),"")</f>
        <v/>
      </c>
      <c r="AD16" s="70"/>
    </row>
    <row r="17" spans="2:30" ht="21" thickBot="1">
      <c r="B17" s="10" t="s">
        <v>75</v>
      </c>
      <c r="C17" s="71" t="str">
        <f>IFERROR(VLOOKUP(C$14,魔法一覧!$A$2:$E$17,4,FALSE),"カード選択")</f>
        <v>カード選択</v>
      </c>
      <c r="D17" s="72"/>
      <c r="E17" s="71" t="str">
        <f>IFERROR(VLOOKUP(E$14,魔法一覧!$A$2:$E$17,4,FALSE),"カード選択")</f>
        <v>カード選択</v>
      </c>
      <c r="F17" s="72"/>
      <c r="G17" s="64"/>
      <c r="H17" s="65"/>
      <c r="I17" s="71" t="str">
        <f>IFERROR(VLOOKUP(I$14,魔法一覧!$A$2:$E$17,4,FALSE),"カード選択")</f>
        <v>カード選択</v>
      </c>
      <c r="J17" s="72"/>
      <c r="K17" s="71" t="str">
        <f>IFERROR(VLOOKUP(K$14,魔法一覧!$A$2:$E$17,4,FALSE),"カード選択")</f>
        <v>カード選択</v>
      </c>
      <c r="L17" s="72"/>
      <c r="M17" s="64"/>
      <c r="N17" s="65"/>
      <c r="O17" s="71" t="str">
        <f>IFERROR(VLOOKUP(O$14,魔法一覧!$A$2:$E$17,4,FALSE),"カード選択")</f>
        <v>カード選択</v>
      </c>
      <c r="P17" s="72"/>
      <c r="Q17" s="71" t="str">
        <f>IFERROR(VLOOKUP(Q$14,魔法一覧!$A$2:$E$17,4,FALSE),"カード選択")</f>
        <v>カード選択</v>
      </c>
      <c r="R17" s="72"/>
      <c r="S17" s="64"/>
      <c r="T17" s="65"/>
      <c r="U17" s="71" t="str">
        <f>IFERROR(VLOOKUP(U$14,魔法一覧!$A$2:$E$17,4,FALSE),"カード選択")</f>
        <v>カード選択</v>
      </c>
      <c r="V17" s="72"/>
      <c r="W17" s="71" t="str">
        <f>IFERROR(VLOOKUP(W$14,魔法一覧!$A$2:$E$17,4,FALSE),"カード選択")</f>
        <v>カード選択</v>
      </c>
      <c r="X17" s="72"/>
      <c r="Y17" s="64"/>
      <c r="Z17" s="65"/>
      <c r="AA17" s="71" t="str">
        <f>IFERROR(VLOOKUP(AA$14,魔法一覧!$A$2:$E$17,4,FALSE),"カード選択")</f>
        <v>カード選択</v>
      </c>
      <c r="AB17" s="72"/>
      <c r="AC17" s="71" t="str">
        <f>IFERROR(VLOOKUP(AC$14,魔法一覧!$A$2:$E$17,4,FALSE),"カード選択")</f>
        <v>カード選択</v>
      </c>
      <c r="AD17" s="72"/>
    </row>
    <row r="18" spans="2:30" ht="21" thickBot="1">
      <c r="B18" s="10" t="s">
        <v>76</v>
      </c>
      <c r="C18" s="71" t="str">
        <f>IFERROR(VLOOKUP(C$14,魔法一覧!$A$2:$E$17,5,FALSE),"カード選択")</f>
        <v>カード選択</v>
      </c>
      <c r="D18" s="72"/>
      <c r="E18" s="71" t="str">
        <f>IFERROR(VLOOKUP(E$14,魔法一覧!$A$2:$E$17,5,FALSE),"カード選択")</f>
        <v>カード選択</v>
      </c>
      <c r="F18" s="72"/>
      <c r="G18" s="64"/>
      <c r="H18" s="65"/>
      <c r="I18" s="71" t="str">
        <f>IFERROR(VLOOKUP(I$14,魔法一覧!$A$2:$E$17,5,FALSE),"カード選択")</f>
        <v>カード選択</v>
      </c>
      <c r="J18" s="72"/>
      <c r="K18" s="71" t="str">
        <f>IFERROR(VLOOKUP(K$14,魔法一覧!$A$2:$E$17,5,FALSE),"カード選択")</f>
        <v>カード選択</v>
      </c>
      <c r="L18" s="72"/>
      <c r="M18" s="64"/>
      <c r="N18" s="65"/>
      <c r="O18" s="71" t="str">
        <f>IFERROR(VLOOKUP(O$14,魔法一覧!$A$2:$E$17,5,FALSE),"カード選択")</f>
        <v>カード選択</v>
      </c>
      <c r="P18" s="72"/>
      <c r="Q18" s="71" t="str">
        <f>IFERROR(VLOOKUP(Q$14,魔法一覧!$A$2:$E$17,5,FALSE),"カード選択")</f>
        <v>カード選択</v>
      </c>
      <c r="R18" s="72"/>
      <c r="S18" s="64"/>
      <c r="T18" s="65"/>
      <c r="U18" s="71" t="str">
        <f>IFERROR(VLOOKUP(U$14,魔法一覧!$A$2:$E$17,5,FALSE),"カード選択")</f>
        <v>カード選択</v>
      </c>
      <c r="V18" s="72"/>
      <c r="W18" s="71" t="str">
        <f>IFERROR(VLOOKUP(W$14,魔法一覧!$A$2:$E$17,5,FALSE),"カード選択")</f>
        <v>カード選択</v>
      </c>
      <c r="X18" s="72"/>
      <c r="Y18" s="64"/>
      <c r="Z18" s="65"/>
      <c r="AA18" s="71" t="str">
        <f>IFERROR(VLOOKUP(AA$14,魔法一覧!$A$2:$E$17,5,FALSE),"カード選択")</f>
        <v>カード選択</v>
      </c>
      <c r="AB18" s="72"/>
      <c r="AC18" s="71" t="str">
        <f>IFERROR(VLOOKUP(AC$14,魔法一覧!$A$2:$E$17,5,FALSE),"カード選択")</f>
        <v>カード選択</v>
      </c>
      <c r="AD18" s="72"/>
    </row>
    <row r="19" spans="2:30" ht="20" customHeight="1" thickBot="1">
      <c r="B19" s="10" t="s">
        <v>89</v>
      </c>
      <c r="C19" s="83" t="s">
        <v>78</v>
      </c>
      <c r="D19" s="84"/>
      <c r="E19" s="83" t="s">
        <v>78</v>
      </c>
      <c r="F19" s="84"/>
      <c r="G19" s="64"/>
      <c r="H19" s="65"/>
      <c r="I19" s="83" t="s">
        <v>78</v>
      </c>
      <c r="J19" s="84"/>
      <c r="K19" s="83" t="s">
        <v>78</v>
      </c>
      <c r="L19" s="84"/>
      <c r="M19" s="64"/>
      <c r="N19" s="65"/>
      <c r="O19" s="83" t="s">
        <v>78</v>
      </c>
      <c r="P19" s="84"/>
      <c r="Q19" s="83" t="s">
        <v>78</v>
      </c>
      <c r="R19" s="84"/>
      <c r="S19" s="64"/>
      <c r="T19" s="65"/>
      <c r="U19" s="83" t="s">
        <v>78</v>
      </c>
      <c r="V19" s="84"/>
      <c r="W19" s="83" t="s">
        <v>78</v>
      </c>
      <c r="X19" s="84"/>
      <c r="Y19" s="64"/>
      <c r="Z19" s="65"/>
      <c r="AA19" s="83" t="s">
        <v>78</v>
      </c>
      <c r="AB19" s="84"/>
      <c r="AC19" s="83" t="s">
        <v>78</v>
      </c>
      <c r="AD19" s="84"/>
    </row>
    <row r="20" spans="2:30">
      <c r="B20" s="58" t="s">
        <v>219</v>
      </c>
      <c r="C20" s="60" t="str">
        <f>IF(COUNTIF(C30, "*ATK UP*")&gt;0, C30, "-")</f>
        <v>-</v>
      </c>
      <c r="D20" s="61"/>
      <c r="E20" s="60" t="str">
        <f>IF(COUNTIF(E30, "*ATK UP*")&gt;0, E30, "-")</f>
        <v>-</v>
      </c>
      <c r="F20" s="61"/>
      <c r="G20" s="64"/>
      <c r="H20" s="65"/>
      <c r="I20" s="60" t="str">
        <f>IF(COUNTIF(I30, "*ATK UP*")&gt;0, I30, "-")</f>
        <v>-</v>
      </c>
      <c r="J20" s="61"/>
      <c r="K20" s="60" t="str">
        <f>IF(COUNTIF(K30, "*ATK UP*")&gt;0, K30, "-")</f>
        <v>-</v>
      </c>
      <c r="L20" s="61"/>
      <c r="M20" s="64"/>
      <c r="N20" s="65"/>
      <c r="O20" s="60" t="str">
        <f>IF(COUNTIF(O30, "*ATK UP*")&gt;0, O30, "-")</f>
        <v>-</v>
      </c>
      <c r="P20" s="61"/>
      <c r="Q20" s="60" t="str">
        <f>IF(COUNTIF(Q30, "*ATK UP*")&gt;0, Q30, "-")</f>
        <v>-</v>
      </c>
      <c r="R20" s="61"/>
      <c r="S20" s="64"/>
      <c r="T20" s="65"/>
      <c r="U20" s="60" t="str">
        <f>IF(COUNTIF(U30, "*ATK UP*")&gt;0, U30, "-")</f>
        <v>-</v>
      </c>
      <c r="V20" s="61"/>
      <c r="W20" s="60" t="str">
        <f>IF(COUNTIF(W30, "*ATK UP*")&gt;0, W30, "-")</f>
        <v>-</v>
      </c>
      <c r="X20" s="61"/>
      <c r="Y20" s="64"/>
      <c r="Z20" s="65"/>
      <c r="AA20" s="60" t="str">
        <f>IF(COUNTIF(AA30, "*ATK UP*")&gt;0, AA30, "-")</f>
        <v>-</v>
      </c>
      <c r="AB20" s="61"/>
      <c r="AC20" s="60" t="str">
        <f>IF(COUNTIF(AC30, "*ATK UP*")&gt;0, AC30, "-")</f>
        <v>-</v>
      </c>
      <c r="AD20" s="61"/>
    </row>
    <row r="21" spans="2:30" ht="21" thickBot="1">
      <c r="B21" s="96"/>
      <c r="C21" s="62" t="s">
        <v>222</v>
      </c>
      <c r="D21" s="63"/>
      <c r="E21" s="62" t="s">
        <v>222</v>
      </c>
      <c r="F21" s="63"/>
      <c r="G21" s="64"/>
      <c r="H21" s="65"/>
      <c r="I21" s="62" t="s">
        <v>222</v>
      </c>
      <c r="J21" s="63"/>
      <c r="K21" s="62" t="s">
        <v>222</v>
      </c>
      <c r="L21" s="63"/>
      <c r="M21" s="64"/>
      <c r="N21" s="65"/>
      <c r="O21" s="62" t="s">
        <v>222</v>
      </c>
      <c r="P21" s="63"/>
      <c r="Q21" s="62" t="s">
        <v>222</v>
      </c>
      <c r="R21" s="63"/>
      <c r="S21" s="64"/>
      <c r="T21" s="65"/>
      <c r="U21" s="62" t="s">
        <v>222</v>
      </c>
      <c r="V21" s="63"/>
      <c r="W21" s="62" t="s">
        <v>222</v>
      </c>
      <c r="X21" s="63"/>
      <c r="Y21" s="64"/>
      <c r="Z21" s="65"/>
      <c r="AA21" s="62" t="s">
        <v>222</v>
      </c>
      <c r="AB21" s="63"/>
      <c r="AC21" s="62" t="s">
        <v>222</v>
      </c>
      <c r="AD21" s="63"/>
    </row>
    <row r="22" spans="2:30">
      <c r="B22" s="58" t="s">
        <v>220</v>
      </c>
      <c r="C22" s="60" t="str">
        <f>IF(COUNTIF(C30, "*ダメージUP*"), C30, "-")</f>
        <v>-</v>
      </c>
      <c r="D22" s="61"/>
      <c r="E22" s="60" t="str">
        <f>IF(COUNTIF(E30, "*ダメージUP*"), E30, "-")</f>
        <v>-</v>
      </c>
      <c r="F22" s="61"/>
      <c r="G22" s="64"/>
      <c r="H22" s="65"/>
      <c r="I22" s="60" t="str">
        <f>IF(COUNTIF(I30, "*ダメージUP*"), I30, "-")</f>
        <v>-</v>
      </c>
      <c r="J22" s="61"/>
      <c r="K22" s="60" t="str">
        <f>IF(COUNTIF(K30, "*ダメージUP*"), K30, "-")</f>
        <v>-</v>
      </c>
      <c r="L22" s="61"/>
      <c r="M22" s="64"/>
      <c r="N22" s="65"/>
      <c r="O22" s="60" t="str">
        <f>IF(COUNTIF(O30, "*ダメージUP*"), O30, "-")</f>
        <v>-</v>
      </c>
      <c r="P22" s="61"/>
      <c r="Q22" s="60" t="str">
        <f>IF(COUNTIF(Q30, "*ダメージUP*"), Q30, "-")</f>
        <v>-</v>
      </c>
      <c r="R22" s="61"/>
      <c r="S22" s="64"/>
      <c r="T22" s="65"/>
      <c r="U22" s="60" t="str">
        <f>IF(COUNTIF(U30, "*ダメージUP*"), U30, "-")</f>
        <v>-</v>
      </c>
      <c r="V22" s="61"/>
      <c r="W22" s="60" t="str">
        <f>IF(COUNTIF(W30, "*ダメージUP*"), W30, "-")</f>
        <v>-</v>
      </c>
      <c r="X22" s="61"/>
      <c r="Y22" s="64"/>
      <c r="Z22" s="65"/>
      <c r="AA22" s="60" t="str">
        <f>IF(COUNTIF(AA30, "*ダメージUP*"), AA30, "-")</f>
        <v>-</v>
      </c>
      <c r="AB22" s="61"/>
      <c r="AC22" s="60" t="str">
        <f>IF(COUNTIF(AC30, "*ダメージUP*"), AC30, "-")</f>
        <v>-</v>
      </c>
      <c r="AD22" s="61"/>
    </row>
    <row r="23" spans="2:30" ht="21" thickBot="1">
      <c r="B23" s="59"/>
      <c r="C23" s="62" t="s">
        <v>77</v>
      </c>
      <c r="D23" s="63"/>
      <c r="E23" s="62" t="s">
        <v>77</v>
      </c>
      <c r="F23" s="63"/>
      <c r="G23" s="64"/>
      <c r="H23" s="65"/>
      <c r="I23" s="62" t="s">
        <v>77</v>
      </c>
      <c r="J23" s="63"/>
      <c r="K23" s="62" t="s">
        <v>77</v>
      </c>
      <c r="L23" s="63"/>
      <c r="M23" s="64"/>
      <c r="N23" s="65"/>
      <c r="O23" s="62" t="s">
        <v>77</v>
      </c>
      <c r="P23" s="63"/>
      <c r="Q23" s="62" t="s">
        <v>77</v>
      </c>
      <c r="R23" s="63"/>
      <c r="S23" s="64"/>
      <c r="T23" s="65"/>
      <c r="U23" s="62" t="s">
        <v>77</v>
      </c>
      <c r="V23" s="63"/>
      <c r="W23" s="62" t="s">
        <v>77</v>
      </c>
      <c r="X23" s="63"/>
      <c r="Y23" s="64"/>
      <c r="Z23" s="65"/>
      <c r="AA23" s="62" t="s">
        <v>77</v>
      </c>
      <c r="AB23" s="63"/>
      <c r="AC23" s="62" t="s">
        <v>77</v>
      </c>
      <c r="AD23" s="63"/>
    </row>
    <row r="24" spans="2:30" ht="21" thickBot="1">
      <c r="B24" s="6"/>
      <c r="C24" s="7"/>
      <c r="D24" s="7"/>
      <c r="E24" s="7"/>
      <c r="F24" s="7"/>
      <c r="G24" s="66"/>
      <c r="H24" s="66"/>
      <c r="I24" s="7"/>
      <c r="J24" s="7"/>
      <c r="K24" s="7"/>
      <c r="L24" s="7"/>
      <c r="M24" s="66"/>
      <c r="N24" s="66"/>
      <c r="O24" s="7"/>
      <c r="P24" s="7"/>
      <c r="Q24" s="7"/>
      <c r="R24" s="7"/>
      <c r="S24" s="66"/>
      <c r="T24" s="66"/>
      <c r="U24" s="7"/>
      <c r="V24" s="7"/>
      <c r="W24" s="7"/>
      <c r="X24" s="7"/>
      <c r="Y24" s="66"/>
      <c r="Z24" s="66"/>
      <c r="AA24" s="7"/>
      <c r="AB24" s="7"/>
      <c r="AC24" s="7"/>
      <c r="AD24" s="7"/>
    </row>
    <row r="25" spans="2:30">
      <c r="B25" s="11" t="s">
        <v>72</v>
      </c>
      <c r="C25" s="79">
        <f>ROUND(C6*(1+C31+C32),0)</f>
        <v>0</v>
      </c>
      <c r="D25" s="80"/>
      <c r="E25" s="80"/>
      <c r="F25" s="81"/>
      <c r="G25" s="64"/>
      <c r="H25" s="65"/>
      <c r="I25" s="79">
        <f>ROUND(I6*(1+I31+I32),0)</f>
        <v>0</v>
      </c>
      <c r="J25" s="80"/>
      <c r="K25" s="80"/>
      <c r="L25" s="81"/>
      <c r="M25" s="64"/>
      <c r="N25" s="65"/>
      <c r="O25" s="79">
        <f>ROUND(O6*(1+O31+O32),0)</f>
        <v>0</v>
      </c>
      <c r="P25" s="80"/>
      <c r="Q25" s="80"/>
      <c r="R25" s="81"/>
      <c r="S25" s="64"/>
      <c r="T25" s="65"/>
      <c r="U25" s="79">
        <f>ROUND(U6*(1+U31+U32),0)</f>
        <v>0</v>
      </c>
      <c r="V25" s="80"/>
      <c r="W25" s="80"/>
      <c r="X25" s="81"/>
      <c r="Y25" s="64"/>
      <c r="Z25" s="65"/>
      <c r="AA25" s="79">
        <f>ROUND(AA6*(1+AA31+AA32),0)</f>
        <v>0</v>
      </c>
      <c r="AB25" s="80"/>
      <c r="AC25" s="80"/>
      <c r="AD25" s="81"/>
    </row>
    <row r="26" spans="2:30" ht="21" thickBot="1">
      <c r="B26" s="12" t="s">
        <v>82</v>
      </c>
      <c r="C26" s="82">
        <f>ROUND(C11*(1+C33+C34+C39+C40)*C36*C37*C38*(1+C41+C42),0)</f>
        <v>0</v>
      </c>
      <c r="D26" s="67"/>
      <c r="E26" s="67">
        <f>ROUND(C11*(1+E33+E34+E39+E40)*E36*E37*E38*(1+E41+E42),0)</f>
        <v>0</v>
      </c>
      <c r="F26" s="68"/>
      <c r="G26" s="64"/>
      <c r="H26" s="65"/>
      <c r="I26" s="82">
        <f>ROUND(I11*(1+I33+I34+I39+I40)*I36*I37*I38*(1+I41+I42),0)</f>
        <v>0</v>
      </c>
      <c r="J26" s="67"/>
      <c r="K26" s="67">
        <f>ROUND(I11*(1+K33+K34+K39+K40)*K36*K37*K38*(1+K41+K42),0)</f>
        <v>0</v>
      </c>
      <c r="L26" s="68"/>
      <c r="M26" s="64"/>
      <c r="N26" s="65"/>
      <c r="O26" s="82">
        <f>ROUND(O11*(1+O33+O34+O39+O40)*O36*O37*O38*(1+O41+O42),0)</f>
        <v>0</v>
      </c>
      <c r="P26" s="67"/>
      <c r="Q26" s="67">
        <f>ROUND(O11*(1+Q33+Q34+Q39+Q40)*Q36*Q37*Q38*(1+Q41+Q42),0)</f>
        <v>0</v>
      </c>
      <c r="R26" s="68"/>
      <c r="S26" s="64"/>
      <c r="T26" s="65"/>
      <c r="U26" s="82">
        <f>ROUND(U11*(1+U33+U34+U39+U40)*U36*U37*U38*(1+U41+U42),0)</f>
        <v>0</v>
      </c>
      <c r="V26" s="67"/>
      <c r="W26" s="67">
        <f>ROUND(U11*(1+W33+W34+W39+W40)*W36*W37*W38*(1+W41+W42),0)</f>
        <v>0</v>
      </c>
      <c r="X26" s="68"/>
      <c r="Y26" s="64"/>
      <c r="Z26" s="65"/>
      <c r="AA26" s="82">
        <f>ROUND(AA11*(1+AA33+AA34+AA39+AA40)*AA36*AA37*AA38*(1+AA41+AA42),0)</f>
        <v>0</v>
      </c>
      <c r="AB26" s="67"/>
      <c r="AC26" s="67">
        <f>ROUND(AA11*(1+AC33+AC34+AC39+AC40)*AC36*AC37*AC38*(1+AC41+AC42),0)</f>
        <v>0</v>
      </c>
      <c r="AD26" s="68"/>
    </row>
    <row r="27" spans="2:30">
      <c r="B27" s="48"/>
      <c r="C27" s="41"/>
      <c r="D27" s="41"/>
      <c r="E27" s="41"/>
      <c r="F27" s="41"/>
      <c r="G27" s="41"/>
      <c r="H27" s="41"/>
      <c r="I27" s="41"/>
      <c r="J27" s="41"/>
      <c r="K27" s="41"/>
      <c r="L27" s="41"/>
      <c r="M27" s="41"/>
      <c r="N27" s="41"/>
      <c r="O27" s="41"/>
      <c r="P27" s="41"/>
      <c r="Q27" s="41"/>
      <c r="R27" s="41"/>
      <c r="S27" s="41"/>
      <c r="T27" s="41"/>
      <c r="U27" s="41"/>
      <c r="V27" s="41"/>
      <c r="W27" s="41"/>
      <c r="X27" s="41"/>
      <c r="Y27" s="41"/>
      <c r="Z27" s="41"/>
      <c r="AA27" s="41"/>
      <c r="AB27" s="41"/>
      <c r="AC27" s="41"/>
      <c r="AD27" s="41"/>
    </row>
    <row r="28" spans="2:30">
      <c r="B28" s="48"/>
      <c r="C28" s="41"/>
      <c r="D28" s="41"/>
      <c r="E28" s="41"/>
      <c r="F28" s="41"/>
      <c r="G28" s="41"/>
      <c r="H28" s="41"/>
      <c r="I28" s="41"/>
      <c r="J28" s="41"/>
      <c r="K28" s="41"/>
      <c r="L28" s="41"/>
      <c r="M28" s="41"/>
      <c r="N28" s="41"/>
      <c r="O28" s="41"/>
      <c r="P28" s="41"/>
      <c r="Q28" s="41"/>
      <c r="R28" s="41"/>
      <c r="S28" s="41"/>
      <c r="T28" s="41"/>
      <c r="U28" s="41"/>
      <c r="V28" s="41"/>
      <c r="W28" s="41"/>
      <c r="X28" s="41"/>
      <c r="Y28" s="41"/>
      <c r="Z28" s="41"/>
      <c r="AA28" s="41"/>
      <c r="AB28" s="41"/>
      <c r="AC28" s="41"/>
      <c r="AD28" s="41"/>
    </row>
    <row r="29" spans="2:30" ht="21" thickBot="1">
      <c r="B29" s="2"/>
    </row>
    <row r="30" spans="2:30" ht="21" hidden="1" customHeight="1">
      <c r="B30" s="2"/>
      <c r="C30" t="str">
        <f>IFERROR(IF(C16&lt;5, DGET(MAGIC詳細!$A$2:$N$116,MAGIC詳細!$D$2,C2:F3), IF(C16&lt;10, DGET(MAGIC詳細!$A$2:$N$116,MAGIC詳細!$F$2,C2:F3), IF(C16=10, DGET(MAGIC詳細!$A$2:$N$116,MAGIC詳細!$H$2,C2:F3), "-"))), "-")</f>
        <v>-</v>
      </c>
      <c r="E30" t="str">
        <f>IFERROR(IF(E16&lt;5, DGET(MAGIC詳細!$A$2:$N$116,MAGIC詳細!$J$2,C2:F3), IF(E16&lt;10, DGET(MAGIC詳細!$A$2:$N$116,MAGIC詳細!$L$2,C2:F3), IF(E16=10, DGET(MAGIC詳細!$A$2:$N$116,MAGIC詳細!$N$2,C2:F3), "-"))), "-")</f>
        <v>-</v>
      </c>
      <c r="I30" t="str">
        <f>IFERROR(IF(I16&lt;5, DGET(MAGIC詳細!$A$2:$N$116,MAGIC詳細!$D$2,I2:L3), IF(I16&lt;10, DGET(MAGIC詳細!$A$2:$N$116,MAGIC詳細!$F$2,I2:L3), IF(I16=10, DGET(MAGIC詳細!$A$2:$N$116,MAGIC詳細!$H$2,I2:L3), "-"))), "-")</f>
        <v>-</v>
      </c>
      <c r="K30" t="str">
        <f>IFERROR(IF(K16&lt;5, DGET(MAGIC詳細!$A$2:$N$116,MAGIC詳細!$J$2,I2:L3), IF(K16&lt;10, DGET(MAGIC詳細!$A$2:$N$116,MAGIC詳細!$L$2,I2:L3), IF(K16=10, DGET(MAGIC詳細!$A$2:$N$116,MAGIC詳細!$N$2,I2:L3), "-"))), "-")</f>
        <v>-</v>
      </c>
      <c r="O30" t="str">
        <f>IFERROR(IF(O16&lt;5, DGET(MAGIC詳細!$A$2:$N$116,MAGIC詳細!$D$2,O2:R3), IF(O16&lt;10, DGET(MAGIC詳細!$A$2:$N$116,MAGIC詳細!$F$2,O2:R3), IF(O16=10, DGET(MAGIC詳細!$A$2:$N$116,MAGIC詳細!$H$2,O2:R3), "-"))), "-")</f>
        <v>-</v>
      </c>
      <c r="Q30" t="str">
        <f>IFERROR(IF(Q16&lt;5, DGET(MAGIC詳細!$A$2:$N$116,MAGIC詳細!$J$2,O2:R3), IF(Q16&lt;10, DGET(MAGIC詳細!$A$2:$N$116,MAGIC詳細!$L$2,O2:R3), IF(Q16=10, DGET(MAGIC詳細!$A$2:$N$116,MAGIC詳細!$N$2,O2:R3), "-"))), "-")</f>
        <v>-</v>
      </c>
      <c r="U30" t="str">
        <f>IFERROR(IF(U16&lt;5, DGET(MAGIC詳細!$A$2:$N$116,MAGIC詳細!$D$2,U2:X3), IF(U16&lt;10, DGET(MAGIC詳細!$A$2:$N$116,MAGIC詳細!$F$2,U2:X3), IF(U16=10, DGET(MAGIC詳細!$A$2:$N$116,MAGIC詳細!$H$2,U2:X3), "-"))), "-")</f>
        <v>-</v>
      </c>
      <c r="W30" t="str">
        <f>IFERROR(IF(W16&lt;5, DGET(MAGIC詳細!$A$2:$N$116,MAGIC詳細!$J$2,U2:X3), IF(W16&lt;10, DGET(MAGIC詳細!$A$2:$N$116,MAGIC詳細!$L$2,U2:X3), IF(W16=10, DGET(MAGIC詳細!$A$2:$N$116,MAGIC詳細!$N$2,U2:X3), "-"))), "-")</f>
        <v>-</v>
      </c>
      <c r="AA30" t="str">
        <f>IFERROR(IF(AA16&lt;5, DGET(MAGIC詳細!$A$2:$N$116,MAGIC詳細!$D$2,AA2:AD3), IF(AA16&lt;10, DGET(MAGIC詳細!$A$2:$N$116,MAGIC詳細!$F$2,AA2:AD3), IF(AA16=10, DGET(MAGIC詳細!$A$2:$N$116,MAGIC詳細!$H$2,AA2:AD3), "-"))), "-")</f>
        <v>-</v>
      </c>
      <c r="AC30" t="str">
        <f>IFERROR(IF(AC16&lt;5, DGET(MAGIC詳細!$A$2:$N$116,MAGIC詳細!$J$2,AA2:AD3), IF(AC16&lt;10, DGET(MAGIC詳細!$A$2:$N$116,MAGIC詳細!$L$2,AA2:AD3), IF(AC16=10, DGET(MAGIC詳細!$A$2:$N$116,MAGIC詳細!$N$2,AA2:AD3), "-"))), "-")</f>
        <v>-</v>
      </c>
    </row>
    <row r="31" spans="2:30" hidden="1">
      <c r="B31" s="2"/>
      <c r="C31">
        <f>IF(D7="小", (10+E7)/100, IF(D7="中", (20+E7)/100, 0))</f>
        <v>0</v>
      </c>
      <c r="I31">
        <f>IF(J7="小", (10+K7)/100, IF(J7="中", (20+K7)/100, 0))</f>
        <v>0</v>
      </c>
      <c r="O31">
        <f>IF(P7="小", (10+Q7)/100, IF(P7="中", (20+Q7)/100, 0))</f>
        <v>0</v>
      </c>
      <c r="U31">
        <f>IF(V7="小", (10+W7)/100, IF(V7="中", (20+W7)/100, 0))</f>
        <v>0</v>
      </c>
      <c r="AA31">
        <f>IF(AB7="小", (10+AC7)/100, IF(AB7="中", (20+AC7)/100, 0))</f>
        <v>0</v>
      </c>
    </row>
    <row r="32" spans="2:30" hidden="1">
      <c r="B32" s="2"/>
      <c r="C32">
        <f>IF(D8="小", (10+E8)/100, IF(D8="中", (20+E8)/100, 0))</f>
        <v>0</v>
      </c>
      <c r="I32">
        <f>IF(J8="小", (10+K8)/100, IF(J8="中", (20+K8)/100, 0))</f>
        <v>0</v>
      </c>
      <c r="O32">
        <f>IF(P8="小", (10+Q8)/100, IF(P8="中", (20+Q8)/100, 0))</f>
        <v>0</v>
      </c>
      <c r="U32">
        <f>IF(V8="小", (10+W8)/100, IF(V8="中", (20+W8)/100, 0))</f>
        <v>0</v>
      </c>
      <c r="AA32">
        <f>IF(AB8="小", (10+AC8)/100, IF(AB8="中", (20+AC8)/100, 0))</f>
        <v>0</v>
      </c>
    </row>
    <row r="33" spans="2:29" hidden="1">
      <c r="B33" s="2"/>
      <c r="C33">
        <f>IF(D12="小", (10+E12)/100, IF(D12="中", (20+E12)/100, 0))</f>
        <v>0</v>
      </c>
      <c r="E33">
        <f>IF(D12="小", (10+E12)/100, IF(D12="中", (20+E12)/100, 0))</f>
        <v>0</v>
      </c>
      <c r="I33">
        <f>IF(J12="小", (10+K12)/100, IF(J12="中", (20+K12)/100, 0))</f>
        <v>0</v>
      </c>
      <c r="K33">
        <f>IF(J12="小", (10+K12)/100, IF(J12="中", (20+K12)/100, 0))</f>
        <v>0</v>
      </c>
      <c r="O33">
        <f>IF(P12="小", (10+Q12)/100, IF(P12="中", (20+Q12)/100, 0))</f>
        <v>0</v>
      </c>
      <c r="Q33">
        <f>IF(P12="小", (10+Q12)/100, IF(P12="中", (20+Q12)/100, 0))</f>
        <v>0</v>
      </c>
      <c r="U33">
        <f>IF(V12="小", (10+W12)/100, IF(V12="中", (20+W12)/100, 0))</f>
        <v>0</v>
      </c>
      <c r="W33">
        <f>IF(V12="小", (10+W12)/100, IF(V12="中", (20+W12)/100, 0))</f>
        <v>0</v>
      </c>
      <c r="AA33">
        <f>IF(AB12="小", (10+AC12)/100, IF(AB12="中", (20+AC12)/100, 0))</f>
        <v>0</v>
      </c>
      <c r="AC33">
        <f>IF(AB12="小", (10+AC12)/100, IF(AB12="中", (20+AC12)/100, 0))</f>
        <v>0</v>
      </c>
    </row>
    <row r="34" spans="2:29" hidden="1">
      <c r="B34" s="2"/>
      <c r="C34">
        <f>IF(D13="小", (10+E13)/100, IF(D13="中", (20+E13)/100, 0))</f>
        <v>0</v>
      </c>
      <c r="E34">
        <f>IF(D13="小", (10+E13)/100, IF(D13="中", (20+E13)/100, 0))</f>
        <v>0</v>
      </c>
      <c r="I34">
        <f>IF(J13="小", (10+K13)/100, IF(J13="中", (20+K13)/100, 0))</f>
        <v>0</v>
      </c>
      <c r="K34">
        <f>IF(J13="小", (10+K13)/100, IF(J13="中", (20+K13)/100, 0))</f>
        <v>0</v>
      </c>
      <c r="O34">
        <f>IF(P13="小", (10+Q13)/100, IF(P13="中", (20+Q13)/100, 0))</f>
        <v>0</v>
      </c>
      <c r="Q34">
        <f>IF(P13="小", (10+Q13)/100, IF(P13="中", (20+Q13)/100, 0))</f>
        <v>0</v>
      </c>
      <c r="U34">
        <f>IF(V13="小", (10+W13)/100, IF(V13="中", (20+W13)/100, 0))</f>
        <v>0</v>
      </c>
      <c r="W34">
        <f>IF(V13="小", (10+W13)/100, IF(V13="中", (20+W13)/100, 0))</f>
        <v>0</v>
      </c>
      <c r="AA34">
        <f>IF(AB13="小", (10+AC13)/100, IF(AB13="中", (20+AC13)/100, 0))</f>
        <v>0</v>
      </c>
      <c r="AC34">
        <f>IF(AB13="小", (10+AC13)/100, IF(AB13="中", (20+AC13)/100, 0))</f>
        <v>0</v>
      </c>
    </row>
    <row r="35" spans="2:29" hidden="1">
      <c r="B35" s="2"/>
    </row>
    <row r="36" spans="2:29" hidden="1">
      <c r="B36" s="2"/>
      <c r="C36">
        <f>IFERROR(IF(C17="弱", 0.5+C16*0.025, 0.625+0.0375*C16),0)</f>
        <v>0</v>
      </c>
      <c r="E36">
        <f>IFERROR(IF(E17="弱", 0.5+E16*0.025, 0.625+0.0375*E16),0)</f>
        <v>0</v>
      </c>
      <c r="I36">
        <f t="shared" ref="I36" si="0">IFERROR(IF(I17="弱", 0.5+I16*0.025, 0.625+0.0375*I16),0)</f>
        <v>0</v>
      </c>
      <c r="K36">
        <f t="shared" ref="K36" si="1">IFERROR(IF(K17="弱", 0.5+K16*0.025, 0.625+0.0375*K16),0)</f>
        <v>0</v>
      </c>
      <c r="O36">
        <f t="shared" ref="O36" si="2">IFERROR(IF(O17="弱", 0.5+O16*0.025, 0.625+0.0375*O16),0)</f>
        <v>0</v>
      </c>
      <c r="Q36">
        <f t="shared" ref="Q36" si="3">IFERROR(IF(Q17="弱", 0.5+Q16*0.025, 0.625+0.0375*Q16),0)</f>
        <v>0</v>
      </c>
      <c r="U36">
        <f t="shared" ref="U36" si="4">IFERROR(IF(U17="弱", 0.5+U16*0.025, 0.625+0.0375*U16),0)</f>
        <v>0</v>
      </c>
      <c r="W36">
        <f t="shared" ref="W36" si="5">IFERROR(IF(W17="弱", 0.5+W16*0.025, 0.625+0.0375*W16),0)</f>
        <v>0</v>
      </c>
      <c r="AA36">
        <f t="shared" ref="AA36" si="6">IFERROR(IF(AA17="弱", 0.5+AA16*0.025, 0.625+0.0375*AA16),0)</f>
        <v>0</v>
      </c>
      <c r="AC36">
        <f t="shared" ref="AC36" si="7">IFERROR(IF(AC17="弱", 0.5+AC16*0.025, 0.625+0.0375*AC16),0)</f>
        <v>0</v>
      </c>
    </row>
    <row r="37" spans="2:29" hidden="1">
      <c r="B37" s="2"/>
      <c r="C37">
        <f>IF(C19="不利", 0.5, IF(C19="同属性", 1, IF(C19="無属性", 1.1, 1.5)))</f>
        <v>1</v>
      </c>
      <c r="E37">
        <f>IF(E19="不利", 0.5, IF(E19="同属性", 1, IF(E19="無属性", 1.1, 1.5)))</f>
        <v>1</v>
      </c>
      <c r="I37">
        <f>IF(I19="不利", 0.5, IF(I19="同属性", 1, IF(I19="無属性", 1.1, 1.5)))</f>
        <v>1</v>
      </c>
      <c r="K37">
        <f>IF(K19="不利", 0.5, IF(K19="同属性", 1, IF(K19="無属性", 1.1, 1.5)))</f>
        <v>1</v>
      </c>
      <c r="O37">
        <f>IF(O19="不利", 0.5, IF(O19="同属性", 1, IF(O19="無属性", 1.1, 1.5)))</f>
        <v>1</v>
      </c>
      <c r="Q37">
        <f>IF(Q19="不利", 0.5, IF(Q19="同属性", 1, IF(Q19="無属性", 1.1, 1.5)))</f>
        <v>1</v>
      </c>
      <c r="U37">
        <f>IF(U19="不利", 0.5, IF(U19="同属性", 1, IF(U19="無属性", 1.1, 1.5)))</f>
        <v>1</v>
      </c>
      <c r="W37">
        <f>IF(W19="不利", 0.5, IF(W19="同属性", 1, IF(W19="無属性", 1.1, 1.5)))</f>
        <v>1</v>
      </c>
      <c r="AA37">
        <f>IF(AA19="不利", 0.5, IF(AA19="同属性", 1, IF(AA19="無属性", 1.1, 1.5)))</f>
        <v>1</v>
      </c>
      <c r="AC37">
        <f>IF(AC19="不利", 0.5, IF(AC19="同属性", 1, IF(AC19="無属性", 1.1, 1.5)))</f>
        <v>1</v>
      </c>
    </row>
    <row r="38" spans="2:29" hidden="1">
      <c r="B38" s="2"/>
      <c r="C38">
        <f>IF(C18=2, 0.9*2, IF(C18=3, 0.8*3, 1))</f>
        <v>1</v>
      </c>
      <c r="E38">
        <f>IF(E18=2, 0.9*2, IF(E18=3, 0.8*3, 1))</f>
        <v>1</v>
      </c>
      <c r="I38">
        <f>IF(I18=2, 0.9*2, IF(I18=3, 0.8*3, 1))</f>
        <v>1</v>
      </c>
      <c r="K38">
        <f>IF(K18=2, 0.9*2, IF(K18=3, 0.8*3, 1))</f>
        <v>1</v>
      </c>
      <c r="O38">
        <f>IF(O18=2, 0.9*2, IF(O18=3, 0.8*3, 1))</f>
        <v>1</v>
      </c>
      <c r="Q38">
        <f>IF(Q18=2, 0.9*2, IF(Q18=3, 0.8*3, 1))</f>
        <v>1</v>
      </c>
      <c r="U38">
        <f>IF(U18=2, 0.9*2, IF(U18=3, 0.8*3, 1))</f>
        <v>1</v>
      </c>
      <c r="W38">
        <f>IF(W18=2, 0.9*2, IF(W18=3, 0.8*3, 1))</f>
        <v>1</v>
      </c>
      <c r="AA38">
        <f>IF(AA18=2, 0.9*2, IF(AA18=3, 0.8*3, 1))</f>
        <v>1</v>
      </c>
      <c r="AC38">
        <f>IF(AC18=2, 0.9*2, IF(AC18=3, 0.8*3, 1))</f>
        <v>1</v>
      </c>
    </row>
    <row r="39" spans="2:29" hidden="1">
      <c r="B39" s="2"/>
      <c r="C39">
        <f>IF(COUNTIF(C20,"*ATK UP（極小）*"), 5+0.5*C$16, IF(COUNTIF(C20,"*ATK UP（小）*"), 10+C$16, IF(COUNTIF(C20,"*ATK UP（中）*"), 20+1.5*C$16, IF(COUNTIF(C20,"*ATK UP（大）*"), 50,0))))/100</f>
        <v>0</v>
      </c>
      <c r="E39">
        <f>IF(COUNTIF(E20,"*ATK UP（極小）*"), 5+0.5*E$16, IF(COUNTIF(E20,"*ATK UP（小）*"), 10+E$16, IF(COUNTIF(E20,"*ATK UP（中）*"), 20+1.5*E$16, IF(COUNTIF(E20,"*ATK UP（大）*"), 50,0))))/100</f>
        <v>0</v>
      </c>
      <c r="I39">
        <f>IF(COUNTIF(I20,"*ATK UP（極小）*"), 5+0.5*I$16, IF(COUNTIF(I20,"*ATK UP（小）*"), 10+I$16, IF(COUNTIF(I20,"*ATK UP（中）*"), 20+1.5*I$16, IF(COUNTIF(I20,"*ATK UP（大）*"), 50,0))))/100</f>
        <v>0</v>
      </c>
      <c r="K39">
        <f>IF(COUNTIF(K20,"*ATK UP（極小）*"), 5+0.5*K$16, IF(COUNTIF(K20,"*ATK UP（小）*"), 10+K$16, IF(COUNTIF(K20,"*ATK UP（中）*"), 20+1.5*K$16, IF(COUNTIF(K20,"*ATK UP（大）*"), 50,0))))/100</f>
        <v>0</v>
      </c>
      <c r="O39">
        <f>IF(COUNTIF(O20,"*ATK UP（極小）*"), 5+0.5*O$16, IF(COUNTIF(O20,"*ATK UP（小）*"), 10+O$16, IF(COUNTIF(O20,"*ATK UP（中）*"), 20+1.5*O$16, IF(COUNTIF(O20,"*ATK UP（大）*"), 50,0))))/100</f>
        <v>0</v>
      </c>
      <c r="Q39">
        <f>IF(COUNTIF(Q20,"*ATK UP（極小）*"), 5+0.5*Q$16, IF(COUNTIF(Q20,"*ATK UP（小）*"), 10+Q$16, IF(COUNTIF(Q20,"*ATK UP（中）*"), 20+1.5*Q$16, IF(COUNTIF(Q20,"*ATK UP（大）*"), 50,0))))/100</f>
        <v>0</v>
      </c>
      <c r="U39">
        <f>IF(COUNTIF(U20,"*ATK UP（極小）*"), 5+0.5*U$16, IF(COUNTIF(U20,"*ATK UP（小）*"), 10+U$16, IF(COUNTIF(U20,"*ATK UP（中）*"), 20+1.5*U$16, IF(COUNTIF(U20,"*ATK UP（大）*"), 50,0))))/100</f>
        <v>0</v>
      </c>
      <c r="W39">
        <f>IF(COUNTIF(W20,"*ATK UP（極小）*"), 5+0.5*W$16, IF(COUNTIF(W20,"*ATK UP（小）*"), 10+W$16, IF(COUNTIF(W20,"*ATK UP（中）*"), 20+1.5*W$16, IF(COUNTIF(W20,"*ATK UP（大）*"), 50,0))))/100</f>
        <v>0</v>
      </c>
      <c r="AA39">
        <f>IF(COUNTIF(AA20,"*ATK UP（極小）*"), 5+0.5*AA$16, IF(COUNTIF(AA20,"*ATK UP（小）*"), 10+AA$16, IF(COUNTIF(AA20,"*ATK UP（中）*"), 20+1.5*AA$16, IF(COUNTIF(AA20,"*ATK UP（大）*"), 50,0))))/100</f>
        <v>0</v>
      </c>
      <c r="AC39">
        <f>IF(COUNTIF(AC20,"*ATK UP（極小）*"), 5+0.5*AC$16, IF(COUNTIF(AC20,"*ATK UP（小）*"), 10+AC$16, IF(COUNTIF(AC20,"*ATK UP（中）*"), 20+1.5*AC$16, IF(COUNTIF(AC20,"*ATK UP（大）*"), 50,0))))/100</f>
        <v>0</v>
      </c>
    </row>
    <row r="40" spans="2:29" hidden="1">
      <c r="B40" s="2"/>
      <c r="C40">
        <f>IF(COUNTIF(C21,"*ATK UP（極小）*"), 5+0.5*C$16, IF(COUNTIF(C21,"*ATK UP（小）*"), 10+C$16, IF(COUNTIF(C21,"*ATK UP（中）*"), 20+1.5*C$16, IF(COUNTIF(C21,"*ATK UP（大）*"), 50,0))))/100</f>
        <v>0</v>
      </c>
      <c r="E40">
        <f>IF(COUNTIF(E21,"*ATK UP（極小）*"), 5+0.5*E$16, IF(COUNTIF(E21,"*ATK UP（小）*"), 10+E$16, IF(COUNTIF(E21,"*ATK UP（中）*"), 20+1.5*E$16, IF(COUNTIF(E21,"*ATK UP（大）*"), 50,0))))/100</f>
        <v>0</v>
      </c>
      <c r="I40">
        <f>IF(COUNTIF(I21,"*ATK UP（極小）*"), 5+0.5*I$16, IF(COUNTIF(I21,"*ATK UP（小）*"), 10+I$16, IF(COUNTIF(I21,"*ATK UP（中）*"), 20+1.5*I$16, IF(COUNTIF(I21,"*ATK UP（大）*"), 50,0))))/100</f>
        <v>0</v>
      </c>
      <c r="K40">
        <f>IF(COUNTIF(K21,"*ATK UP（極小）*"), 5+0.5*K$16, IF(COUNTIF(K21,"*ATK UP（小）*"), 10+K$16, IF(COUNTIF(K21,"*ATK UP（中）*"), 20+1.5*K$16, IF(COUNTIF(K21,"*ATK UP（大）*"), 50,0))))/100</f>
        <v>0</v>
      </c>
      <c r="O40">
        <f>IF(COUNTIF(O21,"*ATK UP（極小）*"), 5+0.5*O$16, IF(COUNTIF(O21,"*ATK UP（小）*"), 10+O$16, IF(COUNTIF(O21,"*ATK UP（中）*"), 20+1.5*O$16, IF(COUNTIF(O21,"*ATK UP（大）*"), 50,0))))/100</f>
        <v>0</v>
      </c>
      <c r="Q40">
        <f>IF(COUNTIF(Q21,"*ATK UP（極小）*"), 5+0.5*Q$16, IF(COUNTIF(Q21,"*ATK UP（小）*"), 10+Q$16, IF(COUNTIF(Q21,"*ATK UP（中）*"), 20+1.5*Q$16, IF(COUNTIF(Q21,"*ATK UP（大）*"), 50,0))))/100</f>
        <v>0</v>
      </c>
      <c r="U40">
        <f>IF(COUNTIF(U21,"*ATK UP（極小）*"), 5+0.5*U$16, IF(COUNTIF(U21,"*ATK UP（小）*"), 10+U$16, IF(COUNTIF(U21,"*ATK UP（中）*"), 20+1.5*U$16, IF(COUNTIF(U21,"*ATK UP（大）*"), 50,0))))/100</f>
        <v>0</v>
      </c>
      <c r="W40">
        <f>IF(COUNTIF(W21,"*ATK UP（極小）*"), 5+0.5*W$16, IF(COUNTIF(W21,"*ATK UP（小）*"), 10+W$16, IF(COUNTIF(W21,"*ATK UP（中）*"), 20+1.5*W$16, IF(COUNTIF(W21,"*ATK UP（大）*"), 50,0))))/100</f>
        <v>0</v>
      </c>
      <c r="AA40">
        <f>IF(COUNTIF(AA21,"*ATK UP（極小）*"), 5+0.5*AA$16, IF(COUNTIF(AA21,"*ATK UP（小）*"), 10+AA$16, IF(COUNTIF(AA21,"*ATK UP（中）*"), 20+1.5*AA$16, IF(COUNTIF(AA21,"*ATK UP（大）*"), 50,0))))/100</f>
        <v>0</v>
      </c>
      <c r="AC40">
        <f>IF(COUNTIF(AC21,"*ATK UP（極小）*"), 5+0.5*AC$16, IF(COUNTIF(AC21,"*ATK UP（小）*"), 10+AC$16, IF(COUNTIF(AC21,"*ATK UP（中）*"), 20+1.5*AC$16, IF(COUNTIF(AC21,"*ATK UP（大）*"), 50,0))))/100</f>
        <v>0</v>
      </c>
    </row>
    <row r="41" spans="2:29" hidden="1">
      <c r="B41" s="2"/>
      <c r="C41">
        <f>IF(COUNTIF(C22,"*ダメージUP（小）*"),C$16,IF(COUNTIF(C22,"*ダメージUP（中）*"),10+C$16,IF(COUNTIF(C22,"*ダメージUP（大）*"),40,0))/100)</f>
        <v>0</v>
      </c>
      <c r="E41">
        <f>IF(COUNTIF(E22,"*ダメージUP（小）*"),E$16,IF(COUNTIF(E22,"*ダメージUP（中）*"),10+E$16,IF(COUNTIF(E22,"*ダメージUP（大）*"),40,0))/100)</f>
        <v>0</v>
      </c>
      <c r="I41">
        <f>IF(COUNTIF(I22,"*ダメージUP（小）*"),I$16,IF(COUNTIF(I22,"*ダメージUP（中）*"),10+I$16,IF(COUNTIF(I22,"*ダメージUP（大）*"),40,0))/100)</f>
        <v>0</v>
      </c>
      <c r="K41">
        <f>IF(COUNTIF(K22,"*ダメージUP（小）*"),K$16,IF(COUNTIF(K22,"*ダメージUP（中）*"),10+K$16,IF(COUNTIF(K22,"*ダメージUP（大）*"),40,0))/100)</f>
        <v>0</v>
      </c>
      <c r="O41">
        <f>IF(COUNTIF(O22,"*ダメージUP（小）*"),O$16,IF(COUNTIF(O22,"*ダメージUP（中）*"),10+O$16,IF(COUNTIF(O22,"*ダメージUP（大）*"),40,0))/100)</f>
        <v>0</v>
      </c>
      <c r="Q41">
        <f>IF(COUNTIF(Q22,"*ダメージUP（小）*"),Q$16,IF(COUNTIF(Q22,"*ダメージUP（中）*"),10+Q$16,IF(COUNTIF(Q22,"*ダメージUP（大）*"),40,0))/100)</f>
        <v>0</v>
      </c>
      <c r="U41">
        <f>IF(COUNTIF(U22,"*ダメージUP（小）*"),U$16,IF(COUNTIF(U22,"*ダメージUP（中）*"),10+U$16,IF(COUNTIF(U22,"*ダメージUP（大）*"),40,0))/100)</f>
        <v>0</v>
      </c>
      <c r="W41">
        <f>IF(COUNTIF(W22,"*ダメージUP（小）*"),W$16,IF(COUNTIF(W22,"*ダメージUP（中）*"),10+W$16,IF(COUNTIF(W22,"*ダメージUP（大）*"),40,0))/100)</f>
        <v>0</v>
      </c>
      <c r="AA41">
        <f>IF(COUNTIF(AA22,"*ダメージUP（小）*"),AA$16,IF(COUNTIF(AA22,"*ダメージUP（中）*"),10+AA$16,IF(COUNTIF(AA22,"*ダメージUP（大）*"),40,0))/100)</f>
        <v>0</v>
      </c>
      <c r="AC41">
        <f>IF(COUNTIF(AC22,"*ダメージUP（小）*"),AC$16,IF(COUNTIF(AC22,"*ダメージUP（中）*"),10+AC$16,IF(COUNTIF(AC22,"*ダメージUP（大）*"),40,0))/100)</f>
        <v>0</v>
      </c>
    </row>
    <row r="42" spans="2:29" ht="21" hidden="1" thickBot="1">
      <c r="B42" s="2"/>
      <c r="C42">
        <f>IF(COUNTIF(C23,"*ダメージUP（小）*"),C$16,IF(COUNTIF(C23,"*ダメージUP（中）*"),10+C$16,IF(COUNTIF(C23,"*ダメージUP（大）*"),40,0))/100)</f>
        <v>0</v>
      </c>
      <c r="E42">
        <f>IF(COUNTIF(E23,"*ダメージUP（小）*"),E$16,IF(COUNTIF(E23,"*ダメージUP（中）*"),10+E$16,IF(COUNTIF(E23,"*ダメージUP（大）*"),40,0))/100)</f>
        <v>0</v>
      </c>
      <c r="I42">
        <f>IF(COUNTIF(I23,"*ダメージUP（小）*"),I$16,IF(COUNTIF(I23,"*ダメージUP（中）*"),10+I$16,IF(COUNTIF(I23,"*ダメージUP（大）*"),40,0))/100)</f>
        <v>0</v>
      </c>
      <c r="K42">
        <f>IF(COUNTIF(K23,"*ダメージUP（小）*"),K$16,IF(COUNTIF(K23,"*ダメージUP（中）*"),10+K$16,IF(COUNTIF(K23,"*ダメージUP（大）*"),40,0))/100)</f>
        <v>0</v>
      </c>
      <c r="O42">
        <f>IF(COUNTIF(O23,"*ダメージUP（小）*"),O$16,IF(COUNTIF(O23,"*ダメージUP（中）*"),10+O$16,IF(COUNTIF(O23,"*ダメージUP（大）*"),40,0))/100)</f>
        <v>0</v>
      </c>
      <c r="Q42">
        <f>IF(COUNTIF(Q23,"*ダメージUP（小）*"),Q$16,IF(COUNTIF(Q23,"*ダメージUP（中）*"),10+Q$16,IF(COUNTIF(Q23,"*ダメージUP（大）*"),40,0))/100)</f>
        <v>0</v>
      </c>
      <c r="U42">
        <f>IF(COUNTIF(U23,"*ダメージUP（小）*"),U$16,IF(COUNTIF(U23,"*ダメージUP（中）*"),10+U$16,IF(COUNTIF(U23,"*ダメージUP（大）*"),40,0))/100)</f>
        <v>0</v>
      </c>
      <c r="W42">
        <f>IF(COUNTIF(W23,"*ダメージUP（小）*"),W$16,IF(COUNTIF(W23,"*ダメージUP（中）*"),10+W$16,IF(COUNTIF(W23,"*ダメージUP（大）*"),40,0))/100)</f>
        <v>0</v>
      </c>
      <c r="AA42">
        <f>IF(COUNTIF(AA23,"*ダメージUP（小）*"),AA$16,IF(COUNTIF(AA23,"*ダメージUP（中）*"),10+AA$16,IF(COUNTIF(AA23,"*ダメージUP（大）*"),40,0))/100)</f>
        <v>0</v>
      </c>
      <c r="AC42">
        <f>IF(COUNTIF(AC23,"*ダメージUP（小）*"),AC$16,IF(COUNTIF(AC23,"*ダメージUP（中）*"),10+AC$16,IF(COUNTIF(AC23,"*ダメージUP（大）*"),40,0))/100)</f>
        <v>0</v>
      </c>
    </row>
    <row r="43" spans="2:29">
      <c r="B43" s="4" t="s">
        <v>86</v>
      </c>
      <c r="C43" s="13">
        <f>SUM(C25:AD25)</f>
        <v>0</v>
      </c>
    </row>
    <row r="44" spans="2:29" ht="21" thickBot="1">
      <c r="B44" s="9" t="s">
        <v>87</v>
      </c>
      <c r="C44" s="14">
        <f>SUM(C26:AD26)</f>
        <v>0</v>
      </c>
    </row>
  </sheetData>
  <sheetProtection algorithmName="SHA-512" hashValue="RG4LdhO/qCe6Z+R3EBfYoOtKJ5QLp9ECRXfILtYfyA22NbM5NKuen6JXz4afQk5qI9DSdYtNvIo6qk422CdoEw==" saltValue="5sDa+dFptre2GATGcPbGPQ==" spinCount="100000" sheet="1" objects="1" scenarios="1"/>
  <mergeCells count="279">
    <mergeCell ref="C2:D2"/>
    <mergeCell ref="E2:F2"/>
    <mergeCell ref="I2:J2"/>
    <mergeCell ref="K2:L2"/>
    <mergeCell ref="O2:P2"/>
    <mergeCell ref="Q2:R2"/>
    <mergeCell ref="M2:N2"/>
    <mergeCell ref="U3:V3"/>
    <mergeCell ref="W3:X3"/>
    <mergeCell ref="G2:H2"/>
    <mergeCell ref="G3:H3"/>
    <mergeCell ref="S2:T2"/>
    <mergeCell ref="S3:T3"/>
    <mergeCell ref="U2:V2"/>
    <mergeCell ref="W2:X2"/>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C15:D15"/>
    <mergeCell ref="E15:F15"/>
    <mergeCell ref="I15:J15"/>
    <mergeCell ref="K15:L15"/>
    <mergeCell ref="O15:P15"/>
    <mergeCell ref="C11:F11"/>
    <mergeCell ref="I11:L11"/>
    <mergeCell ref="O11:R11"/>
    <mergeCell ref="U11:X11"/>
    <mergeCell ref="Q15:R15"/>
    <mergeCell ref="C14:D14"/>
    <mergeCell ref="E14:F14"/>
    <mergeCell ref="G11:H11"/>
    <mergeCell ref="G12:H12"/>
    <mergeCell ref="G13:H13"/>
    <mergeCell ref="G14:H14"/>
    <mergeCell ref="S11:T11"/>
    <mergeCell ref="S12:T12"/>
    <mergeCell ref="W12:X12"/>
    <mergeCell ref="E13:F13"/>
    <mergeCell ref="K13:L13"/>
    <mergeCell ref="Q13:R13"/>
    <mergeCell ref="W13:X13"/>
    <mergeCell ref="S15:T15"/>
    <mergeCell ref="C16:D16"/>
    <mergeCell ref="E16:F16"/>
    <mergeCell ref="I16:J16"/>
    <mergeCell ref="K16:L16"/>
    <mergeCell ref="O16:P16"/>
    <mergeCell ref="Q16:R16"/>
    <mergeCell ref="U16:V16"/>
    <mergeCell ref="W16:X16"/>
    <mergeCell ref="AA16:AB16"/>
    <mergeCell ref="G16:H16"/>
    <mergeCell ref="Y16:Z16"/>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M19:N19"/>
    <mergeCell ref="M20:N20"/>
    <mergeCell ref="C26:D26"/>
    <mergeCell ref="E26:F26"/>
    <mergeCell ref="I26:J26"/>
    <mergeCell ref="K26:L26"/>
    <mergeCell ref="O26:P26"/>
    <mergeCell ref="Q26:R26"/>
    <mergeCell ref="C25:F25"/>
    <mergeCell ref="I25:L25"/>
    <mergeCell ref="O25:R25"/>
    <mergeCell ref="G25:H25"/>
    <mergeCell ref="G26:H26"/>
    <mergeCell ref="M26:N26"/>
    <mergeCell ref="G24:H24"/>
    <mergeCell ref="AA18:AB18"/>
    <mergeCell ref="Y19:Z19"/>
    <mergeCell ref="M22:N22"/>
    <mergeCell ref="M23:N23"/>
    <mergeCell ref="AA25:AD25"/>
    <mergeCell ref="U19:V19"/>
    <mergeCell ref="W19:X19"/>
    <mergeCell ref="AA19:AB19"/>
    <mergeCell ref="AC19:AD19"/>
    <mergeCell ref="AC18:AD18"/>
    <mergeCell ref="W20:X20"/>
    <mergeCell ref="U21:V21"/>
    <mergeCell ref="W21:X21"/>
    <mergeCell ref="U22:V22"/>
    <mergeCell ref="W22:X22"/>
    <mergeCell ref="U23:V23"/>
    <mergeCell ref="W23:X23"/>
    <mergeCell ref="M24:N24"/>
    <mergeCell ref="M25:N25"/>
    <mergeCell ref="O23:P23"/>
    <mergeCell ref="Q23:R23"/>
    <mergeCell ref="U14:V14"/>
    <mergeCell ref="U15:V15"/>
    <mergeCell ref="S4:T4"/>
    <mergeCell ref="S5:T5"/>
    <mergeCell ref="S6:T6"/>
    <mergeCell ref="M16:N16"/>
    <mergeCell ref="G22:H22"/>
    <mergeCell ref="G23:H23"/>
    <mergeCell ref="W17:X17"/>
    <mergeCell ref="M21:N21"/>
    <mergeCell ref="M11:N11"/>
    <mergeCell ref="M12:N12"/>
    <mergeCell ref="M13:N13"/>
    <mergeCell ref="M14:N14"/>
    <mergeCell ref="O22:P22"/>
    <mergeCell ref="Q22:R22"/>
    <mergeCell ref="AA17:AB17"/>
    <mergeCell ref="Y17:Z17"/>
    <mergeCell ref="Y15:Z15"/>
    <mergeCell ref="AA15:AB15"/>
    <mergeCell ref="W14:X14"/>
    <mergeCell ref="W15:X15"/>
    <mergeCell ref="G4:H4"/>
    <mergeCell ref="G5:H5"/>
    <mergeCell ref="G6:H6"/>
    <mergeCell ref="G7:H7"/>
    <mergeCell ref="U17:V17"/>
    <mergeCell ref="M6:N6"/>
    <mergeCell ref="M7:N7"/>
    <mergeCell ref="M8:N8"/>
    <mergeCell ref="O17:P17"/>
    <mergeCell ref="Q17:R17"/>
    <mergeCell ref="M15:N15"/>
    <mergeCell ref="I14:J14"/>
    <mergeCell ref="K14:L14"/>
    <mergeCell ref="O14:P14"/>
    <mergeCell ref="Q14:R14"/>
    <mergeCell ref="G15:H15"/>
    <mergeCell ref="S14:T14"/>
    <mergeCell ref="M10:N10"/>
    <mergeCell ref="Y10:Z10"/>
    <mergeCell ref="AA11:AD11"/>
    <mergeCell ref="AA14:AB14"/>
    <mergeCell ref="AC14:AD14"/>
    <mergeCell ref="Y14:Z14"/>
    <mergeCell ref="Y11:Z11"/>
    <mergeCell ref="Y12:Z12"/>
    <mergeCell ref="Y13:Z13"/>
    <mergeCell ref="Y3:Z3"/>
    <mergeCell ref="AA2:AB2"/>
    <mergeCell ref="AC2:AD2"/>
    <mergeCell ref="AA3:AB3"/>
    <mergeCell ref="AC3:AD3"/>
    <mergeCell ref="Y2:Z2"/>
    <mergeCell ref="W8:X8"/>
    <mergeCell ref="Y6:Z6"/>
    <mergeCell ref="Y7:Z7"/>
    <mergeCell ref="Y8:Z8"/>
    <mergeCell ref="AC26:AD26"/>
    <mergeCell ref="S26:T26"/>
    <mergeCell ref="S22:T22"/>
    <mergeCell ref="S23:T23"/>
    <mergeCell ref="S24:T24"/>
    <mergeCell ref="S25:T25"/>
    <mergeCell ref="Y23:Z23"/>
    <mergeCell ref="Y24:Z24"/>
    <mergeCell ref="Y25:Z25"/>
    <mergeCell ref="Y26:Z26"/>
    <mergeCell ref="U25:X25"/>
    <mergeCell ref="U26:V26"/>
    <mergeCell ref="W26:X26"/>
    <mergeCell ref="AA26:AB26"/>
    <mergeCell ref="AA23:AB23"/>
    <mergeCell ref="AC23:AD23"/>
    <mergeCell ref="AA22:AB22"/>
    <mergeCell ref="AC22:AD22"/>
    <mergeCell ref="Y22:Z22"/>
    <mergeCell ref="AC17:AD17"/>
    <mergeCell ref="AC15:AD15"/>
    <mergeCell ref="M4:N4"/>
    <mergeCell ref="M5:N5"/>
    <mergeCell ref="S16:T16"/>
    <mergeCell ref="S17:T17"/>
    <mergeCell ref="AA20:AB20"/>
    <mergeCell ref="AC20:AD20"/>
    <mergeCell ref="AA21:AB21"/>
    <mergeCell ref="AC21:AD21"/>
    <mergeCell ref="O20:P20"/>
    <mergeCell ref="Q20:R20"/>
    <mergeCell ref="O21:P21"/>
    <mergeCell ref="Q21:R21"/>
    <mergeCell ref="Y20:Z20"/>
    <mergeCell ref="Y21:Z21"/>
    <mergeCell ref="S20:T20"/>
    <mergeCell ref="S21:T21"/>
    <mergeCell ref="U20:V20"/>
    <mergeCell ref="M17:N17"/>
    <mergeCell ref="M18:N18"/>
    <mergeCell ref="AC16:AD16"/>
    <mergeCell ref="AC12:AD12"/>
    <mergeCell ref="Y9:Z9"/>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V12:V13 D12:D13 J12:J13 P12:P13 AB12:AB13"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16725BC-C5C8-744E-90CA-7FC9F39315D0}">
          <x14:formula1>
            <xm:f>キャラ・カード名一覧!$B$3:$B$25</xm:f>
          </x14:formula1>
          <xm:sqref>C3:D3 I3:J3 O3:P3 U3:V3 AA3:AB3</xm:sqref>
        </x14:dataValidation>
        <x14:dataValidation type="list" allowBlank="1" showInputMessage="1" showErrorMessage="1" xr:uid="{3B535241-1070-2F4A-86E6-DDE7D8148CF5}">
          <x14:formula1>
            <xm:f>キャラ・カード名一覧!$C$3:$C$17</xm:f>
          </x14:formula1>
          <xm:sqref>E3:F3 AC3:AD3 W3:X3 Q3:R3 K3:L3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MAGIC詳細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2020-09-22T12:59:20Z</dcterms:modified>
</cp:coreProperties>
</file>