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codeName="{801CCD77-7B78-1753-DF39-40050F3742D7}"/>
  <workbookPr codeName="ThisWorkbook" defaultThemeVersion="166925"/>
  <mc:AlternateContent xmlns:mc="http://schemas.openxmlformats.org/markup-compatibility/2006">
    <mc:Choice Requires="x15">
      <x15ac:absPath xmlns:x15ac="http://schemas.microsoft.com/office/spreadsheetml/2010/11/ac" url="/Users/nakamuraryo/デスクトップbackup/ツイステ/"/>
    </mc:Choice>
  </mc:AlternateContent>
  <xr:revisionPtr revIDLastSave="0" documentId="13_ncr:1_{B4C3B29C-E459-9B49-9809-A0EE17BDEF15}" xr6:coauthVersionLast="45" xr6:coauthVersionMax="45" xr10:uidLastSave="{00000000-0000-0000-0000-000000000000}"/>
  <bookViews>
    <workbookView xWindow="280" yWindow="460" windowWidth="23060" windowHeight="16420" activeTab="1" xr2:uid="{FB830EDF-61D4-AE47-8E5D-3F9BF16F663C}"/>
  </bookViews>
  <sheets>
    <sheet name="使い方" sheetId="6" r:id="rId1"/>
    <sheet name="シミュレータ" sheetId="3" r:id="rId2"/>
    <sheet name="カード一覧" sheetId="1" r:id="rId3"/>
    <sheet name="カード詳細" sheetId="7" r:id="rId4"/>
    <sheet name="魔法一覧" sheetId="2" r:id="rId5"/>
    <sheet name="キャラ・カード名一覧" sheetId="8" r:id="rId6"/>
    <sheet name="シミュレータ (保護)" sheetId="5" r:id="rId7"/>
  </sheets>
  <definedNames>
    <definedName name="_xlnm._FilterDatabase" localSheetId="2" hidden="1">カード一覧!$B$1:$K$114</definedName>
    <definedName name="_xlnm._FilterDatabase" localSheetId="3" hidden="1">カード詳細!$A$2:$N$2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C40" i="3" l="1"/>
  <c r="AA40" i="3"/>
  <c r="W40" i="3"/>
  <c r="U40" i="3"/>
  <c r="Q40" i="3"/>
  <c r="O40" i="3"/>
  <c r="K40" i="3"/>
  <c r="I40" i="3"/>
  <c r="E40" i="3"/>
  <c r="C40" i="3"/>
  <c r="AC38" i="3"/>
  <c r="AA38" i="3"/>
  <c r="W38" i="3"/>
  <c r="U38" i="3"/>
  <c r="Q38" i="3"/>
  <c r="O38" i="3"/>
  <c r="K38" i="3"/>
  <c r="I38" i="3"/>
  <c r="E38" i="3"/>
  <c r="C38" i="3"/>
  <c r="U37" i="3"/>
  <c r="I37" i="3"/>
  <c r="AC35" i="3"/>
  <c r="AA35" i="3"/>
  <c r="W35" i="3"/>
  <c r="U35" i="3"/>
  <c r="Q35" i="3"/>
  <c r="O35" i="3"/>
  <c r="K35" i="3"/>
  <c r="I35" i="3"/>
  <c r="E35" i="3"/>
  <c r="C35" i="3"/>
  <c r="U32" i="3"/>
  <c r="I32" i="3"/>
  <c r="AC28" i="3"/>
  <c r="AA28" i="3"/>
  <c r="AA22" i="3" s="1"/>
  <c r="AA39" i="3" s="1"/>
  <c r="W28" i="3"/>
  <c r="U28" i="3"/>
  <c r="Q28" i="3"/>
  <c r="O28" i="3"/>
  <c r="O22" i="3" s="1"/>
  <c r="O39" i="3" s="1"/>
  <c r="K28" i="3"/>
  <c r="I28" i="3"/>
  <c r="E28" i="3"/>
  <c r="C28" i="3"/>
  <c r="C22" i="3" s="1"/>
  <c r="C39" i="3" s="1"/>
  <c r="AC22" i="3"/>
  <c r="AC39" i="3" s="1"/>
  <c r="W22" i="3"/>
  <c r="W39" i="3" s="1"/>
  <c r="U22" i="3"/>
  <c r="U39" i="3" s="1"/>
  <c r="Q22" i="3"/>
  <c r="Q39" i="3" s="1"/>
  <c r="K22" i="3"/>
  <c r="K39" i="3" s="1"/>
  <c r="I22" i="3"/>
  <c r="I39" i="3" s="1"/>
  <c r="E22" i="3"/>
  <c r="E39" i="3" s="1"/>
  <c r="AC20" i="3"/>
  <c r="AC37" i="3" s="1"/>
  <c r="W20" i="3"/>
  <c r="W37" i="3" s="1"/>
  <c r="U20" i="3"/>
  <c r="Q20" i="3"/>
  <c r="Q37" i="3" s="1"/>
  <c r="K20" i="3"/>
  <c r="K37" i="3" s="1"/>
  <c r="I20" i="3"/>
  <c r="E20" i="3"/>
  <c r="E37" i="3" s="1"/>
  <c r="AC18" i="3"/>
  <c r="AC36" i="3" s="1"/>
  <c r="Q18" i="3"/>
  <c r="Q36" i="3" s="1"/>
  <c r="E18" i="3"/>
  <c r="E36" i="3" s="1"/>
  <c r="AC15" i="3"/>
  <c r="Q15" i="3"/>
  <c r="E15" i="3"/>
  <c r="AC14" i="3"/>
  <c r="AC17" i="3" s="1"/>
  <c r="AC34" i="3" s="1"/>
  <c r="AA14" i="3"/>
  <c r="AA18" i="3" s="1"/>
  <c r="AA36" i="3" s="1"/>
  <c r="W14" i="3"/>
  <c r="W18" i="3" s="1"/>
  <c r="W36" i="3" s="1"/>
  <c r="U14" i="3"/>
  <c r="U17" i="3" s="1"/>
  <c r="U34" i="3" s="1"/>
  <c r="Q14" i="3"/>
  <c r="Q17" i="3" s="1"/>
  <c r="Q34" i="3" s="1"/>
  <c r="O14" i="3"/>
  <c r="O18" i="3" s="1"/>
  <c r="O36" i="3" s="1"/>
  <c r="K14" i="3"/>
  <c r="K18" i="3" s="1"/>
  <c r="K36" i="3" s="1"/>
  <c r="I14" i="3"/>
  <c r="I17" i="3" s="1"/>
  <c r="I34" i="3" s="1"/>
  <c r="E14" i="3"/>
  <c r="E17" i="3" s="1"/>
  <c r="E34" i="3" s="1"/>
  <c r="C14" i="3"/>
  <c r="C18" i="3" s="1"/>
  <c r="C36" i="3" s="1"/>
  <c r="AB13" i="3"/>
  <c r="AC32" i="3" s="1"/>
  <c r="AA13" i="3"/>
  <c r="V13" i="3"/>
  <c r="W32" i="3" s="1"/>
  <c r="U13" i="3"/>
  <c r="P13" i="3"/>
  <c r="Q32" i="3" s="1"/>
  <c r="O13" i="3"/>
  <c r="J13" i="3"/>
  <c r="K32" i="3" s="1"/>
  <c r="I13" i="3"/>
  <c r="D13" i="3"/>
  <c r="E32" i="3" s="1"/>
  <c r="C13" i="3"/>
  <c r="AB12" i="3"/>
  <c r="AC31" i="3" s="1"/>
  <c r="AA12" i="3"/>
  <c r="V12" i="3"/>
  <c r="W31" i="3" s="1"/>
  <c r="U12" i="3"/>
  <c r="P12" i="3"/>
  <c r="Q31" i="3" s="1"/>
  <c r="O12" i="3"/>
  <c r="J12" i="3"/>
  <c r="K31" i="3" s="1"/>
  <c r="I12" i="3"/>
  <c r="D12" i="3"/>
  <c r="E31" i="3" s="1"/>
  <c r="C12" i="3"/>
  <c r="AB8" i="3"/>
  <c r="AA30" i="3" s="1"/>
  <c r="AA8" i="3"/>
  <c r="V8" i="3"/>
  <c r="U30" i="3" s="1"/>
  <c r="U8" i="3"/>
  <c r="P8" i="3"/>
  <c r="O30" i="3" s="1"/>
  <c r="O8" i="3"/>
  <c r="J8" i="3"/>
  <c r="I30" i="3" s="1"/>
  <c r="I8" i="3"/>
  <c r="D8" i="3"/>
  <c r="C30" i="3" s="1"/>
  <c r="C8" i="3"/>
  <c r="AB7" i="3"/>
  <c r="AA29" i="3" s="1"/>
  <c r="AA7" i="3"/>
  <c r="V7" i="3"/>
  <c r="U29" i="3" s="1"/>
  <c r="U25" i="3" s="1"/>
  <c r="U7" i="3"/>
  <c r="P7" i="3"/>
  <c r="O29" i="3" s="1"/>
  <c r="O7" i="3"/>
  <c r="J7" i="3"/>
  <c r="I29" i="3" s="1"/>
  <c r="I25" i="3" s="1"/>
  <c r="I7" i="3"/>
  <c r="D7" i="3"/>
  <c r="C29" i="3" s="1"/>
  <c r="C7" i="3"/>
  <c r="C25" i="3" l="1"/>
  <c r="O25" i="3"/>
  <c r="AA25" i="3"/>
  <c r="E26" i="3"/>
  <c r="Q26" i="3"/>
  <c r="AC26" i="3"/>
  <c r="K17" i="3"/>
  <c r="K34" i="3" s="1"/>
  <c r="K26" i="3" s="1"/>
  <c r="W17" i="3"/>
  <c r="W34" i="3" s="1"/>
  <c r="W26" i="3" s="1"/>
  <c r="C31" i="3"/>
  <c r="O31" i="3"/>
  <c r="AA31" i="3"/>
  <c r="I15" i="3"/>
  <c r="U15" i="3"/>
  <c r="C17" i="3"/>
  <c r="C34" i="3" s="1"/>
  <c r="O17" i="3"/>
  <c r="O34" i="3" s="1"/>
  <c r="AA17" i="3"/>
  <c r="AA34" i="3" s="1"/>
  <c r="I18" i="3"/>
  <c r="I36" i="3" s="1"/>
  <c r="U18" i="3"/>
  <c r="U36" i="3" s="1"/>
  <c r="C20" i="3"/>
  <c r="C37" i="3" s="1"/>
  <c r="O20" i="3"/>
  <c r="O37" i="3" s="1"/>
  <c r="AA20" i="3"/>
  <c r="AA37" i="3" s="1"/>
  <c r="K15" i="3"/>
  <c r="W15" i="3"/>
  <c r="I31" i="3"/>
  <c r="I26" i="3" s="1"/>
  <c r="U31" i="3"/>
  <c r="C32" i="3"/>
  <c r="O32" i="3"/>
  <c r="AA32" i="3"/>
  <c r="C15" i="3"/>
  <c r="O15" i="3"/>
  <c r="AA15" i="3"/>
  <c r="E18" i="5"/>
  <c r="E17" i="5"/>
  <c r="I15" i="5"/>
  <c r="E15" i="5"/>
  <c r="C15" i="5"/>
  <c r="W14" i="5"/>
  <c r="AC14" i="5"/>
  <c r="AA14" i="5"/>
  <c r="U14" i="5"/>
  <c r="Q14" i="5"/>
  <c r="O14" i="5"/>
  <c r="K14" i="5"/>
  <c r="I14" i="5"/>
  <c r="E14" i="5"/>
  <c r="C14" i="5"/>
  <c r="O26" i="3" l="1"/>
  <c r="C26" i="3"/>
  <c r="C42" i="3" s="1"/>
  <c r="C41" i="3"/>
  <c r="U26" i="3"/>
  <c r="AA26" i="3"/>
  <c r="AB13" i="5"/>
  <c r="AB12" i="5"/>
  <c r="V13" i="5"/>
  <c r="V12" i="5"/>
  <c r="P13" i="5"/>
  <c r="P12" i="5"/>
  <c r="J13" i="5"/>
  <c r="J12" i="5"/>
  <c r="AA20" i="5" l="1"/>
  <c r="AC22" i="5"/>
  <c r="AA22" i="5"/>
  <c r="AC20" i="5"/>
  <c r="U22" i="5"/>
  <c r="U20" i="5"/>
  <c r="Q22" i="5"/>
  <c r="O22" i="5"/>
  <c r="Q20" i="5"/>
  <c r="O20" i="5"/>
  <c r="K22" i="5"/>
  <c r="K20" i="5"/>
  <c r="C22" i="5"/>
  <c r="E22" i="5"/>
  <c r="E20" i="5"/>
  <c r="C20" i="5"/>
  <c r="AC40" i="5" l="1"/>
  <c r="AA40" i="5"/>
  <c r="AC38" i="5"/>
  <c r="AA38" i="5"/>
  <c r="AC35" i="5"/>
  <c r="AA35" i="5"/>
  <c r="AC28" i="5"/>
  <c r="AC39" i="5" s="1"/>
  <c r="AA28" i="5"/>
  <c r="AA39" i="5" s="1"/>
  <c r="AA37" i="5"/>
  <c r="AC15" i="5"/>
  <c r="AC17" i="5"/>
  <c r="AC34" i="5" s="1"/>
  <c r="AA18" i="5"/>
  <c r="AA36" i="5" s="1"/>
  <c r="AC32" i="5"/>
  <c r="AA13" i="5"/>
  <c r="AC31" i="5"/>
  <c r="AA12" i="5"/>
  <c r="AB8" i="5"/>
  <c r="AA30" i="5" s="1"/>
  <c r="AA8" i="5"/>
  <c r="AB7" i="5"/>
  <c r="AA29" i="5" s="1"/>
  <c r="AA7" i="5"/>
  <c r="W40" i="5"/>
  <c r="U40" i="5"/>
  <c r="W38" i="5"/>
  <c r="U38" i="5"/>
  <c r="W35" i="5"/>
  <c r="U35" i="5"/>
  <c r="W28" i="5"/>
  <c r="U28" i="5"/>
  <c r="U37" i="5" s="1"/>
  <c r="W18" i="5"/>
  <c r="W36" i="5" s="1"/>
  <c r="W17" i="5"/>
  <c r="W34" i="5" s="1"/>
  <c r="U17" i="5"/>
  <c r="U34" i="5" s="1"/>
  <c r="W32" i="5"/>
  <c r="U13" i="5"/>
  <c r="W31" i="5"/>
  <c r="U12" i="5"/>
  <c r="V8" i="5"/>
  <c r="U30" i="5" s="1"/>
  <c r="U8" i="5"/>
  <c r="V7" i="5"/>
  <c r="U29" i="5" s="1"/>
  <c r="U7" i="5"/>
  <c r="Q40" i="5"/>
  <c r="O40" i="5"/>
  <c r="Q38" i="5"/>
  <c r="O38" i="5"/>
  <c r="Q35" i="5"/>
  <c r="O35" i="5"/>
  <c r="Q28" i="5"/>
  <c r="Q39" i="5" s="1"/>
  <c r="O28" i="5"/>
  <c r="O39" i="5" s="1"/>
  <c r="Q18" i="5"/>
  <c r="Q36" i="5" s="1"/>
  <c r="O18" i="5"/>
  <c r="O36" i="5" s="1"/>
  <c r="O32" i="5"/>
  <c r="O13" i="5"/>
  <c r="O31" i="5"/>
  <c r="O12" i="5"/>
  <c r="P8" i="5"/>
  <c r="O30" i="5" s="1"/>
  <c r="O8" i="5"/>
  <c r="P7" i="5"/>
  <c r="O29" i="5" s="1"/>
  <c r="O7" i="5"/>
  <c r="K40" i="5"/>
  <c r="I40" i="5"/>
  <c r="K38" i="5"/>
  <c r="I38" i="5"/>
  <c r="K35" i="5"/>
  <c r="I35" i="5"/>
  <c r="K28" i="5"/>
  <c r="K37" i="5" s="1"/>
  <c r="I28" i="5"/>
  <c r="K17" i="5"/>
  <c r="K34" i="5" s="1"/>
  <c r="I17" i="5"/>
  <c r="I34" i="5" s="1"/>
  <c r="K32" i="5"/>
  <c r="I13" i="5"/>
  <c r="K31" i="5"/>
  <c r="I12" i="5"/>
  <c r="J8" i="5"/>
  <c r="I30" i="5" s="1"/>
  <c r="I8" i="5"/>
  <c r="J7" i="5"/>
  <c r="I29" i="5" s="1"/>
  <c r="I7" i="5"/>
  <c r="E40" i="5"/>
  <c r="E38" i="5"/>
  <c r="C40" i="5"/>
  <c r="C38" i="5"/>
  <c r="E35" i="5"/>
  <c r="E28" i="5"/>
  <c r="E37" i="5" s="1"/>
  <c r="C28" i="5"/>
  <c r="C37" i="5" s="1"/>
  <c r="W20" i="5" l="1"/>
  <c r="W37" i="5" s="1"/>
  <c r="W22" i="5"/>
  <c r="I20" i="5"/>
  <c r="I37" i="5" s="1"/>
  <c r="I22" i="5"/>
  <c r="AA25" i="5"/>
  <c r="W39" i="5"/>
  <c r="AC18" i="5"/>
  <c r="AC36" i="5" s="1"/>
  <c r="AA31" i="5"/>
  <c r="K15" i="5"/>
  <c r="O37" i="5"/>
  <c r="Q31" i="5"/>
  <c r="K18" i="5"/>
  <c r="K36" i="5" s="1"/>
  <c r="U25" i="5"/>
  <c r="K39" i="5"/>
  <c r="W15" i="5"/>
  <c r="AA17" i="5"/>
  <c r="AA34" i="5" s="1"/>
  <c r="AC37" i="5"/>
  <c r="AA32" i="5"/>
  <c r="I25" i="5"/>
  <c r="AA15" i="5"/>
  <c r="O25" i="5"/>
  <c r="Q32" i="5"/>
  <c r="U32" i="5"/>
  <c r="U15" i="5"/>
  <c r="U18" i="5"/>
  <c r="U36" i="5" s="1"/>
  <c r="U39" i="5"/>
  <c r="U31" i="5"/>
  <c r="Q17" i="5"/>
  <c r="Q34" i="5" s="1"/>
  <c r="Q37" i="5"/>
  <c r="O17" i="5"/>
  <c r="O34" i="5" s="1"/>
  <c r="O15" i="5"/>
  <c r="Q15" i="5"/>
  <c r="I32" i="5"/>
  <c r="I18" i="5"/>
  <c r="I36" i="5" s="1"/>
  <c r="I39" i="5"/>
  <c r="I31" i="5"/>
  <c r="E39" i="5"/>
  <c r="C39" i="5"/>
  <c r="W26" i="5" l="1"/>
  <c r="AC26" i="5"/>
  <c r="K26" i="5"/>
  <c r="O26" i="5"/>
  <c r="AA26" i="5"/>
  <c r="Q26" i="5"/>
  <c r="U26" i="5"/>
  <c r="I26" i="5"/>
  <c r="D13" i="5"/>
  <c r="D12" i="5"/>
  <c r="C13" i="5"/>
  <c r="C12" i="5"/>
  <c r="C8" i="5"/>
  <c r="C7" i="5"/>
  <c r="D8" i="5"/>
  <c r="C30" i="5" s="1"/>
  <c r="D7" i="5"/>
  <c r="C29" i="5" s="1"/>
  <c r="C31" i="5" l="1"/>
  <c r="E31" i="5"/>
  <c r="E32" i="5"/>
  <c r="C32" i="5"/>
  <c r="C35" i="5"/>
  <c r="E36" i="5"/>
  <c r="C17" i="5"/>
  <c r="C34" i="5" s="1"/>
  <c r="C25" i="5" l="1"/>
  <c r="E34" i="5"/>
  <c r="E26" i="5" s="1"/>
  <c r="C18" i="5"/>
  <c r="C36" i="5" s="1"/>
  <c r="C26" i="5" s="1"/>
  <c r="C41" i="5" l="1"/>
  <c r="C42" i="5"/>
</calcChain>
</file>

<file path=xl/sharedStrings.xml><?xml version="1.0" encoding="utf-8"?>
<sst xmlns="http://schemas.openxmlformats.org/spreadsheetml/2006/main" count="2456" uniqueCount="255">
  <si>
    <t>キャラ</t>
    <phoneticPr fontId="1"/>
  </si>
  <si>
    <t>レアリティ</t>
    <phoneticPr fontId="1"/>
  </si>
  <si>
    <t>タイプ</t>
    <phoneticPr fontId="1"/>
  </si>
  <si>
    <t>MAGIC1</t>
    <phoneticPr fontId="1"/>
  </si>
  <si>
    <t>MAGIC2</t>
    <phoneticPr fontId="1"/>
  </si>
  <si>
    <t>ID</t>
    <phoneticPr fontId="1"/>
  </si>
  <si>
    <t>リドル</t>
    <phoneticPr fontId="1"/>
  </si>
  <si>
    <t>R</t>
    <phoneticPr fontId="1"/>
  </si>
  <si>
    <t>カード</t>
    <phoneticPr fontId="1"/>
  </si>
  <si>
    <t>制服</t>
    <rPh sb="0" eb="2">
      <t>セイフク</t>
    </rPh>
    <phoneticPr fontId="1"/>
  </si>
  <si>
    <t>ファイアショット</t>
    <phoneticPr fontId="1"/>
  </si>
  <si>
    <t>トレイ</t>
    <phoneticPr fontId="1"/>
  </si>
  <si>
    <t>属性</t>
    <rPh sb="0" eb="2">
      <t>ゾクセイ</t>
    </rPh>
    <phoneticPr fontId="1"/>
  </si>
  <si>
    <t>名前</t>
    <rPh sb="0" eb="2">
      <t>ナマエ</t>
    </rPh>
    <phoneticPr fontId="1"/>
  </si>
  <si>
    <t>効果</t>
    <rPh sb="0" eb="2">
      <t>コウカ</t>
    </rPh>
    <phoneticPr fontId="1"/>
  </si>
  <si>
    <t>火</t>
    <rPh sb="0" eb="1">
      <t xml:space="preserve">ヒ </t>
    </rPh>
    <phoneticPr fontId="1"/>
  </si>
  <si>
    <t>火属性ダメージ(弱)</t>
    <rPh sb="0" eb="3">
      <t>ヒゾクセ</t>
    </rPh>
    <rPh sb="8" eb="9">
      <t xml:space="preserve">ヨワ </t>
    </rPh>
    <phoneticPr fontId="1"/>
  </si>
  <si>
    <t>木</t>
    <rPh sb="0" eb="1">
      <t xml:space="preserve">キ </t>
    </rPh>
    <phoneticPr fontId="1"/>
  </si>
  <si>
    <t>２連撃の木属性ダメージ(弱)</t>
    <phoneticPr fontId="1"/>
  </si>
  <si>
    <t>運動着</t>
    <rPh sb="0" eb="3">
      <t>ウンドウ</t>
    </rPh>
    <phoneticPr fontId="1"/>
  </si>
  <si>
    <t>リーフショット</t>
    <phoneticPr fontId="1"/>
  </si>
  <si>
    <t>デュース</t>
    <phoneticPr fontId="1"/>
  </si>
  <si>
    <t>水</t>
    <rPh sb="0" eb="1">
      <t>ミズ</t>
    </rPh>
    <phoneticPr fontId="1"/>
  </si>
  <si>
    <t>ウォーターショット</t>
    <phoneticPr fontId="1"/>
  </si>
  <si>
    <t>２連撃の水属性ダメージ(弱)</t>
    <rPh sb="0" eb="1">
      <t>２レn</t>
    </rPh>
    <rPh sb="4" eb="5">
      <t>ミズ</t>
    </rPh>
    <phoneticPr fontId="1"/>
  </si>
  <si>
    <t>実験着</t>
    <rPh sb="0" eb="3">
      <t>ジッケn</t>
    </rPh>
    <phoneticPr fontId="1"/>
  </si>
  <si>
    <t>SR</t>
    <phoneticPr fontId="1"/>
  </si>
  <si>
    <t>アクアウェーブ</t>
    <phoneticPr fontId="1"/>
  </si>
  <si>
    <t>ジャミル</t>
    <phoneticPr fontId="1"/>
  </si>
  <si>
    <t>式典服</t>
    <rPh sb="0" eb="3">
      <t>シキ</t>
    </rPh>
    <phoneticPr fontId="1"/>
  </si>
  <si>
    <t>ケイト</t>
    <phoneticPr fontId="1"/>
  </si>
  <si>
    <t>イデア</t>
    <phoneticPr fontId="1"/>
  </si>
  <si>
    <t>エース</t>
    <phoneticPr fontId="1"/>
  </si>
  <si>
    <t>寮服</t>
    <rPh sb="0" eb="2">
      <t>リョウフク</t>
    </rPh>
    <phoneticPr fontId="1"/>
  </si>
  <si>
    <t>寮服</t>
    <rPh sb="0" eb="1">
      <t>リョウフク</t>
    </rPh>
    <phoneticPr fontId="1"/>
  </si>
  <si>
    <t>SSR</t>
    <phoneticPr fontId="1"/>
  </si>
  <si>
    <t>フレイムブラスト</t>
    <phoneticPr fontId="1"/>
  </si>
  <si>
    <t>火属性ダメージ(強)</t>
    <rPh sb="0" eb="1">
      <t>ヒゾクス</t>
    </rPh>
    <rPh sb="8" eb="9">
      <t>キョウ</t>
    </rPh>
    <phoneticPr fontId="1"/>
  </si>
  <si>
    <t>B</t>
    <phoneticPr fontId="1"/>
  </si>
  <si>
    <t>D</t>
    <phoneticPr fontId="1"/>
  </si>
  <si>
    <t>A</t>
    <phoneticPr fontId="1"/>
  </si>
  <si>
    <t>フォレストストライク</t>
    <phoneticPr fontId="1"/>
  </si>
  <si>
    <t>レオナ</t>
    <phoneticPr fontId="1"/>
  </si>
  <si>
    <t>木属性ダメージ(強)</t>
    <rPh sb="0" eb="1">
      <t>モクゾク</t>
    </rPh>
    <rPh sb="8" eb="9">
      <t>キョウ</t>
    </rPh>
    <phoneticPr fontId="1"/>
  </si>
  <si>
    <t>ゼロレイ</t>
    <phoneticPr fontId="1"/>
  </si>
  <si>
    <t>ラギー</t>
    <phoneticPr fontId="1"/>
  </si>
  <si>
    <t>オルト</t>
    <phoneticPr fontId="1"/>
  </si>
  <si>
    <t>無</t>
    <rPh sb="0" eb="1">
      <t xml:space="preserve">ム </t>
    </rPh>
    <phoneticPr fontId="1"/>
  </si>
  <si>
    <t>カリム</t>
    <phoneticPr fontId="1"/>
  </si>
  <si>
    <t>ジャック</t>
    <phoneticPr fontId="1"/>
  </si>
  <si>
    <t>ジェイド</t>
    <phoneticPr fontId="1"/>
  </si>
  <si>
    <t>エペル</t>
    <phoneticPr fontId="1"/>
  </si>
  <si>
    <t>２連撃の火属性ダメージ(弱)</t>
    <phoneticPr fontId="1"/>
  </si>
  <si>
    <t>アズール</t>
    <phoneticPr fontId="1"/>
  </si>
  <si>
    <t>ルーク</t>
    <phoneticPr fontId="1"/>
  </si>
  <si>
    <t>ビーンズ・カモ</t>
    <phoneticPr fontId="1"/>
  </si>
  <si>
    <t>マレウス</t>
    <phoneticPr fontId="1"/>
  </si>
  <si>
    <t>２連撃の無属性ダメージ(弱)</t>
    <phoneticPr fontId="1"/>
  </si>
  <si>
    <t>ガラ・クチュール</t>
    <phoneticPr fontId="1"/>
  </si>
  <si>
    <t>水属性ダメージ(強)</t>
    <rPh sb="0" eb="3">
      <t>ミズズ</t>
    </rPh>
    <rPh sb="8" eb="9">
      <t>キョウ</t>
    </rPh>
    <phoneticPr fontId="1"/>
  </si>
  <si>
    <t>木属性ダメージ(弱)</t>
    <rPh sb="0" eb="3">
      <t>モクゾク</t>
    </rPh>
    <rPh sb="8" eb="9">
      <t>ジャク</t>
    </rPh>
    <phoneticPr fontId="1"/>
  </si>
  <si>
    <t>無属性ダメージ(強)</t>
    <rPh sb="0" eb="3">
      <t>ムゾクセイ</t>
    </rPh>
    <rPh sb="8" eb="9">
      <t>キョウ</t>
    </rPh>
    <phoneticPr fontId="1"/>
  </si>
  <si>
    <t>フロイド</t>
    <phoneticPr fontId="1"/>
  </si>
  <si>
    <t>２連撃の火属性ダメージ(強)</t>
    <rPh sb="12" eb="13">
      <t>キョウ</t>
    </rPh>
    <phoneticPr fontId="1"/>
  </si>
  <si>
    <t>ボイドショット</t>
    <phoneticPr fontId="1"/>
  </si>
  <si>
    <t>無属性ダメージ(弱)</t>
    <rPh sb="0" eb="1">
      <t>ムゾクセイ</t>
    </rPh>
    <rPh sb="8" eb="9">
      <t>ジャク</t>
    </rPh>
    <phoneticPr fontId="1"/>
  </si>
  <si>
    <t>水属性ダメージ(弱)</t>
    <rPh sb="0" eb="1">
      <t>ミズ</t>
    </rPh>
    <phoneticPr fontId="1"/>
  </si>
  <si>
    <t>ヴィル</t>
    <phoneticPr fontId="1"/>
  </si>
  <si>
    <t>セベク</t>
    <phoneticPr fontId="1"/>
  </si>
  <si>
    <t>制服</t>
    <rPh sb="0" eb="1">
      <t>セイフク</t>
    </rPh>
    <phoneticPr fontId="1"/>
  </si>
  <si>
    <t>シルバー</t>
    <phoneticPr fontId="1"/>
  </si>
  <si>
    <t>リリア</t>
    <phoneticPr fontId="1"/>
  </si>
  <si>
    <t>G</t>
    <phoneticPr fontId="1"/>
  </si>
  <si>
    <t>有利</t>
    <rPh sb="0" eb="2">
      <t>YUUR</t>
    </rPh>
    <phoneticPr fontId="1"/>
  </si>
  <si>
    <t>なりきり花婿</t>
  </si>
  <si>
    <t>HP</t>
    <phoneticPr fontId="1"/>
  </si>
  <si>
    <t>ATK</t>
    <phoneticPr fontId="1"/>
  </si>
  <si>
    <t>バディ</t>
    <phoneticPr fontId="1"/>
  </si>
  <si>
    <t>推定HP</t>
    <rPh sb="0" eb="2">
      <t>スイテイ</t>
    </rPh>
    <phoneticPr fontId="1"/>
  </si>
  <si>
    <t>威力</t>
    <rPh sb="0" eb="2">
      <t>イリョク</t>
    </rPh>
    <phoneticPr fontId="1"/>
  </si>
  <si>
    <t>基礎値</t>
    <rPh sb="0" eb="3">
      <t>キソ</t>
    </rPh>
    <phoneticPr fontId="1"/>
  </si>
  <si>
    <t>魔法威力</t>
    <rPh sb="0" eb="4">
      <t>マホウ</t>
    </rPh>
    <phoneticPr fontId="1"/>
  </si>
  <si>
    <t>連撃数</t>
    <rPh sb="0" eb="3">
      <t>レンゲキ</t>
    </rPh>
    <phoneticPr fontId="1"/>
  </si>
  <si>
    <t>-</t>
  </si>
  <si>
    <t>同属性</t>
  </si>
  <si>
    <t>魔法レベル</t>
    <rPh sb="0" eb="1">
      <t>マホウ</t>
    </rPh>
    <phoneticPr fontId="1"/>
  </si>
  <si>
    <t>弱</t>
    <rPh sb="0" eb="1">
      <t>ジャク</t>
    </rPh>
    <phoneticPr fontId="1"/>
  </si>
  <si>
    <t>強</t>
    <phoneticPr fontId="1"/>
  </si>
  <si>
    <t>推定ダメージ</t>
    <rPh sb="0" eb="1">
      <t>スイテイ</t>
    </rPh>
    <phoneticPr fontId="1"/>
  </si>
  <si>
    <t>魔法</t>
    <rPh sb="0" eb="2">
      <t>マホウ</t>
    </rPh>
    <phoneticPr fontId="1"/>
  </si>
  <si>
    <t>連撃</t>
    <rPh sb="0" eb="2">
      <t>レンゲキ</t>
    </rPh>
    <phoneticPr fontId="1"/>
  </si>
  <si>
    <t>強</t>
    <rPh sb="0" eb="1">
      <t>キョウ</t>
    </rPh>
    <phoneticPr fontId="1"/>
  </si>
  <si>
    <t>推定合計HP</t>
    <rPh sb="0" eb="2">
      <t>スイテイ</t>
    </rPh>
    <rPh sb="2" eb="4">
      <t>ゴウケイ</t>
    </rPh>
    <phoneticPr fontId="1"/>
  </si>
  <si>
    <t>推定合計ダメージ</t>
    <rPh sb="0" eb="1">
      <t>スイテイ</t>
    </rPh>
    <rPh sb="2" eb="3">
      <t>ゴウケイ</t>
    </rPh>
    <phoneticPr fontId="1"/>
  </si>
  <si>
    <t>魔法属性</t>
    <rPh sb="0" eb="4">
      <t>マホウ</t>
    </rPh>
    <phoneticPr fontId="1"/>
  </si>
  <si>
    <t>有利/不利</t>
    <rPh sb="0" eb="2">
      <t>ユウリ</t>
    </rPh>
    <rPh sb="3" eb="5">
      <t>フリ</t>
    </rPh>
    <phoneticPr fontId="1"/>
  </si>
  <si>
    <t>このexcelの使い方</t>
    <rPh sb="8" eb="9">
      <t>ツカイ</t>
    </rPh>
    <phoneticPr fontId="1"/>
  </si>
  <si>
    <t>注意事項</t>
    <rPh sb="0" eb="4">
      <t>チュウ</t>
    </rPh>
    <phoneticPr fontId="1"/>
  </si>
  <si>
    <t>自作発言・二次配布は禁止です。ご自身で使用する範囲においての改良は自由です。改良したものの配布についてはご連絡ください。</t>
    <rPh sb="0" eb="4">
      <t>ジサクハツグ</t>
    </rPh>
    <rPh sb="5" eb="9">
      <t>ニジハ</t>
    </rPh>
    <rPh sb="10" eb="12">
      <t>キンセィ</t>
    </rPh>
    <rPh sb="19" eb="21">
      <t>シヨウ</t>
    </rPh>
    <rPh sb="30" eb="32">
      <t>カイリョウ</t>
    </rPh>
    <rPh sb="33" eb="35">
      <t>ジユウ</t>
    </rPh>
    <rPh sb="38" eb="40">
      <t>カイリョウ</t>
    </rPh>
    <rPh sb="45" eb="47">
      <t>ハイヘゥ</t>
    </rPh>
    <phoneticPr fontId="1"/>
  </si>
  <si>
    <t>全体を通して</t>
    <rPh sb="0" eb="2">
      <t>ゼンタイ</t>
    </rPh>
    <rPh sb="3" eb="4">
      <t>トオセィ</t>
    </rPh>
    <phoneticPr fontId="1"/>
  </si>
  <si>
    <t>このexcelはツイステの1プレイヤーが編成を楽にしたいがために作ったものです。専門家でもないしexcelも詳しいわけではないので情報が間違っている可能性は高いです。その点をご了承いただける方のみ、ご利用ください。
皆さんのより良いツイステライフを願っております。</t>
    <rPh sb="20" eb="22">
      <t>ヘンセイ</t>
    </rPh>
    <rPh sb="23" eb="24">
      <t>ラク</t>
    </rPh>
    <rPh sb="32" eb="33">
      <t>ツクッタ</t>
    </rPh>
    <rPh sb="40" eb="43">
      <t>センモンカデム</t>
    </rPh>
    <rPh sb="54" eb="55">
      <t>クワシイ</t>
    </rPh>
    <rPh sb="65" eb="67">
      <t>ジョウホウ</t>
    </rPh>
    <rPh sb="68" eb="70">
      <t>マチガッテ</t>
    </rPh>
    <rPh sb="74" eb="77">
      <t>カノウセイハ</t>
    </rPh>
    <rPh sb="78" eb="79">
      <t>タカイ</t>
    </rPh>
    <rPh sb="108" eb="109">
      <t xml:space="preserve">ミナサン </t>
    </rPh>
    <rPh sb="124" eb="125">
      <t>ネガッテ</t>
    </rPh>
    <phoneticPr fontId="1"/>
  </si>
  <si>
    <t>作成者：いぬぽ(@inuneko6928)</t>
    <rPh sb="0" eb="3">
      <t>サクセイ</t>
    </rPh>
    <phoneticPr fontId="1"/>
  </si>
  <si>
    <t>このexcelの一番の売りです。薄い黄色になっている部分を記入していただくと推定HPと推定ダメージが出てきます。オプションとしてバフを選択できるようになっています。また、下のほうにあるボタンは「初期化」で最初の状態に、「全有利」で無属性以外の全ての攻撃が有利になった場合、それ以外のボタンでは相手の属性に対する有利不利を一括で記入することができます。ぜひご活用ください。
ツイステのバトルの仕様で乱数補正というものがあります。これにより、このシミュレータでは10%程度の誤差が出ます。</t>
    <rPh sb="8" eb="10">
      <t>イチバn</t>
    </rPh>
    <rPh sb="11" eb="12">
      <t>ウリ</t>
    </rPh>
    <rPh sb="16" eb="17">
      <t>ウスイ</t>
    </rPh>
    <rPh sb="18" eb="20">
      <t>キイロ</t>
    </rPh>
    <rPh sb="29" eb="31">
      <t>キニュウ</t>
    </rPh>
    <rPh sb="38" eb="40">
      <t>スイテイ</t>
    </rPh>
    <rPh sb="43" eb="45">
      <t>スイテイ</t>
    </rPh>
    <rPh sb="50" eb="51">
      <t>デテキマス</t>
    </rPh>
    <rPh sb="67" eb="69">
      <t>センタク</t>
    </rPh>
    <rPh sb="85" eb="86">
      <t>シタノホ</t>
    </rPh>
    <rPh sb="97" eb="100">
      <t>ショキ</t>
    </rPh>
    <rPh sb="102" eb="104">
      <t>サイセィオ</t>
    </rPh>
    <rPh sb="110" eb="113">
      <t>ゼンユウリ</t>
    </rPh>
    <rPh sb="115" eb="120">
      <t>ムゾクセイ</t>
    </rPh>
    <rPh sb="121" eb="122">
      <t>スベテ</t>
    </rPh>
    <rPh sb="127" eb="129">
      <t>ユウリ</t>
    </rPh>
    <rPh sb="146" eb="148">
      <t>アイテ</t>
    </rPh>
    <rPh sb="149" eb="151">
      <t>ゾクセイ</t>
    </rPh>
    <rPh sb="155" eb="159">
      <t>ユウリ</t>
    </rPh>
    <rPh sb="160" eb="162">
      <t>イッカテゥ</t>
    </rPh>
    <rPh sb="163" eb="165">
      <t>キニュウ</t>
    </rPh>
    <rPh sb="195" eb="197">
      <t>シヨウ</t>
    </rPh>
    <rPh sb="200" eb="202">
      <t>ランスウホス</t>
    </rPh>
    <rPh sb="232" eb="234">
      <t>テイド</t>
    </rPh>
    <rPh sb="235" eb="237">
      <t>ゴサ</t>
    </rPh>
    <rPh sb="238" eb="239">
      <t>デマス</t>
    </rPh>
    <phoneticPr fontId="1"/>
  </si>
  <si>
    <t>２連撃の木属性ダメージ(強)</t>
    <rPh sb="12" eb="13">
      <t>キョウ</t>
    </rPh>
    <phoneticPr fontId="1"/>
  </si>
  <si>
    <t>ATK UP 小</t>
    <rPh sb="7" eb="8">
      <t>sy</t>
    </rPh>
    <phoneticPr fontId="1"/>
  </si>
  <si>
    <t>ATK UP 中</t>
    <rPh sb="7" eb="8">
      <t>チュウ</t>
    </rPh>
    <phoneticPr fontId="1"/>
  </si>
  <si>
    <t>HP UP 中</t>
    <rPh sb="6" eb="7">
      <t>チュウ</t>
    </rPh>
    <phoneticPr fontId="1"/>
  </si>
  <si>
    <t>エース</t>
  </si>
  <si>
    <t>マレウス</t>
  </si>
  <si>
    <t>リドル</t>
  </si>
  <si>
    <t>寮服</t>
  </si>
  <si>
    <t>魔法1</t>
  </si>
  <si>
    <t>アズール</t>
  </si>
  <si>
    <t>ラギー</t>
  </si>
  <si>
    <t>ジャミル</t>
  </si>
  <si>
    <t>イデア</t>
  </si>
  <si>
    <t>セベク</t>
  </si>
  <si>
    <t>ヴィル</t>
  </si>
  <si>
    <t>レオナ</t>
  </si>
  <si>
    <t>シルバー</t>
  </si>
  <si>
    <t>オルト</t>
  </si>
  <si>
    <t>式典服</t>
  </si>
  <si>
    <t>制服</t>
  </si>
  <si>
    <t>トレイ</t>
  </si>
  <si>
    <t>フロイド</t>
  </si>
  <si>
    <t>HP UP 小1</t>
    <rPh sb="6" eb="7">
      <t>ショウ</t>
    </rPh>
    <phoneticPr fontId="1"/>
  </si>
  <si>
    <t>HP UP 小2</t>
    <rPh sb="6" eb="7">
      <t>ショウ</t>
    </rPh>
    <phoneticPr fontId="1"/>
  </si>
  <si>
    <t>ケイト</t>
  </si>
  <si>
    <t>カリム</t>
  </si>
  <si>
    <t>実験着</t>
  </si>
  <si>
    <t>魔法2</t>
  </si>
  <si>
    <t>フレイムブラスト</t>
  </si>
  <si>
    <t>DUO魔法発動時に3連撃に強化（アズール）</t>
  </si>
  <si>
    <t>[DUO]アズールと一緒に選択したとき3連撃に強化</t>
  </si>
  <si>
    <t>ダメージUP（小）</t>
  </si>
  <si>
    <t>DUO発動時に3連撃に強化（デュース）</t>
  </si>
  <si>
    <t>[DUO]デュースと一緒に選択したとき3連撃に強化</t>
  </si>
  <si>
    <t>デュース</t>
  </si>
  <si>
    <t>ゼロレイ</t>
  </si>
  <si>
    <t>ウォーターショット[II]</t>
  </si>
  <si>
    <t>DUO発動時に3連撃に強化（エース）</t>
  </si>
  <si>
    <t>アクアウェーブ[II]</t>
  </si>
  <si>
    <t>[DUO]エースと一緒に選択したとき3連撃に強化</t>
  </si>
  <si>
    <t>フォレストストライク</t>
  </si>
  <si>
    <t>DUO発動時に3連撃に強化（トレイ）</t>
  </si>
  <si>
    <t>[DUO]発動時に3連撃に強化（トレイ）</t>
    <phoneticPr fontId="1"/>
  </si>
  <si>
    <t>アクアウェーブ</t>
  </si>
  <si>
    <t>HP回復（小）</t>
  </si>
  <si>
    <t>HP回復（中）</t>
  </si>
  <si>
    <t>DUO発動時に3連撃に強化（ケイト）</t>
  </si>
  <si>
    <t>[DUO]ケイトと一緒に選択したとき3連撃に強化</t>
  </si>
  <si>
    <t>リーフショット[II]</t>
  </si>
  <si>
    <t>DUO発動時に強化（ヴィル）</t>
  </si>
  <si>
    <t>[DUO]ヴィルと一緒に選択したとき、3連撃に強化</t>
  </si>
  <si>
    <t>ジャック</t>
  </si>
  <si>
    <t>DUO発動時に3連撃に強化（ラギー）</t>
  </si>
  <si>
    <t>[DUO]ラギーと一緒に選択したとき3連撃に強化</t>
  </si>
  <si>
    <t>DUO発動時に3連撃に強化（ジャック）</t>
  </si>
  <si>
    <t>[DUO]ジャックと一緒に選択したとき3連撃に強化</t>
  </si>
  <si>
    <t>DUO発動時に3連撃に強化（リドル）</t>
  </si>
  <si>
    <t>[DUO]リドルと一緒に選択したとき3連撃に強化</t>
  </si>
  <si>
    <t>ジェイド</t>
  </si>
  <si>
    <t>DUO発動時に3連撃に強化（フロイド）</t>
  </si>
  <si>
    <t>[DUO]フロイドと一緒に選択したとき3連撃に強化</t>
  </si>
  <si>
    <t>DUO発動時に3連撃に強化（ジェイド）</t>
  </si>
  <si>
    <t>[DUO]ジェイドと一緒に選択したとき3連撃に強化</t>
  </si>
  <si>
    <t>水属性ダメージUP（小）（味方選択/1T）</t>
  </si>
  <si>
    <t>水属性ダメージUP（中）（味方選択/1T）</t>
  </si>
  <si>
    <t>水属性ダメージUP（大）（味方選択/1T）</t>
  </si>
  <si>
    <t>DUO発動時に3連撃に強化（ジャミル）</t>
  </si>
  <si>
    <t>[DUO]ジャミルと一緒に選択したとき3連撃に強化</t>
  </si>
  <si>
    <t>DUO発動時に3連撃に強化（カリム）</t>
  </si>
  <si>
    <t>[DUO]カリムと一緒に選択したとき3連撃に強化</t>
  </si>
  <si>
    <t>ビーンズ・カモ</t>
  </si>
  <si>
    <t>??</t>
  </si>
  <si>
    <t>ガラ・クチュール</t>
  </si>
  <si>
    <t>木属性ダメージUP（小）（味方選択/1T）</t>
  </si>
  <si>
    <t>木属性ダメージUP（中）（味方選択/1T）</t>
  </si>
  <si>
    <t>木属性ダメージUP（大）（味方選択/1T）</t>
  </si>
  <si>
    <t>ファイアショット</t>
  </si>
  <si>
    <t>ファイアショット[II]</t>
  </si>
  <si>
    <t>フレイムブラスト[II]</t>
  </si>
  <si>
    <t>フォレストストライク[II]</t>
  </si>
  <si>
    <t>リーフショット</t>
  </si>
  <si>
    <t>ボイドショット[II]</t>
  </si>
  <si>
    <t>ウォーターショット</t>
  </si>
  <si>
    <t>ATK DOWN（小/1T）</t>
  </si>
  <si>
    <t>エペル</t>
  </si>
  <si>
    <t>ルーク</t>
  </si>
  <si>
    <t>プレジション・ギア</t>
  </si>
  <si>
    <t>バースト・ギア</t>
  </si>
  <si>
    <t>ボイドショット</t>
  </si>
  <si>
    <t>リリア</t>
  </si>
  <si>
    <t xml:space="preserve">HP回復（極小） </t>
  </si>
  <si>
    <t>火属性ダメージUP（極小）（味方選択/1T）</t>
  </si>
  <si>
    <t>火属性ダメージUP（小）（味方選択/1T）</t>
  </si>
  <si>
    <t>運動着</t>
  </si>
  <si>
    <t>ATK DOWN（小）</t>
  </si>
  <si>
    <t>アーキタイプ・ギア</t>
  </si>
  <si>
    <t>アスレチック・ギア</t>
  </si>
  <si>
    <t>木</t>
  </si>
  <si>
    <t>水</t>
  </si>
  <si>
    <t>火</t>
  </si>
  <si>
    <t>無</t>
  </si>
  <si>
    <t>1-Lv1</t>
    <phoneticPr fontId="1"/>
  </si>
  <si>
    <t>1-Lv5</t>
    <phoneticPr fontId="1"/>
  </si>
  <si>
    <t>1-効果1</t>
    <phoneticPr fontId="1"/>
  </si>
  <si>
    <t>1-効果5</t>
    <phoneticPr fontId="1"/>
  </si>
  <si>
    <t>1-Lv10</t>
    <phoneticPr fontId="1"/>
  </si>
  <si>
    <t>1-効果10</t>
    <phoneticPr fontId="1"/>
  </si>
  <si>
    <t>2-Lv1</t>
    <phoneticPr fontId="1"/>
  </si>
  <si>
    <t>2-効果1</t>
    <phoneticPr fontId="1"/>
  </si>
  <si>
    <t>2-Lv5</t>
    <phoneticPr fontId="1"/>
  </si>
  <si>
    <t>2-効果5</t>
    <phoneticPr fontId="1"/>
  </si>
  <si>
    <t>2-Lv10</t>
    <phoneticPr fontId="1"/>
  </si>
  <si>
    <t>2-効果10</t>
    <phoneticPr fontId="1"/>
  </si>
  <si>
    <t>ATK UP（中）</t>
  </si>
  <si>
    <t>ATK UP（小）</t>
  </si>
  <si>
    <t>ダメージUP（中）</t>
  </si>
  <si>
    <t>ダメージUP（大）</t>
  </si>
  <si>
    <t>ダメージ UP（中）</t>
  </si>
  <si>
    <t>ダメージ UP（小）</t>
  </si>
  <si>
    <t>ダメージDOWN（中）</t>
  </si>
  <si>
    <t>ATK UP（大）</t>
  </si>
  <si>
    <t>ATK UP（極小）</t>
  </si>
  <si>
    <t>HP回復（小）＆ATK UP（小）</t>
  </si>
  <si>
    <t>被ダメージDOWN（中）</t>
  </si>
  <si>
    <t>ダメージDOWN（小）</t>
  </si>
  <si>
    <t>ATK DOWN（中）</t>
  </si>
  <si>
    <t>ATK DOWN（大）</t>
  </si>
  <si>
    <t>ダメージDOWN（大）</t>
  </si>
  <si>
    <t>ATK DOWN（極小）</t>
  </si>
  <si>
    <t>ATK UP（中）</t>
    <phoneticPr fontId="1"/>
  </si>
  <si>
    <t>ダメージUP（小）</t>
    <phoneticPr fontId="1"/>
  </si>
  <si>
    <t>ゼロレイ[II]</t>
  </si>
  <si>
    <t>アクアウェーブ[II]</t>
    <phoneticPr fontId="1"/>
  </si>
  <si>
    <t>2連撃の水属性ダメージ(強)</t>
    <rPh sb="1" eb="3">
      <t>レンゲキ</t>
    </rPh>
    <rPh sb="4" eb="5">
      <t>ミズゾク</t>
    </rPh>
    <rPh sb="12" eb="13">
      <t>キョウ</t>
    </rPh>
    <phoneticPr fontId="1"/>
  </si>
  <si>
    <t>ATK UP（極小）</t>
    <phoneticPr fontId="1"/>
  </si>
  <si>
    <t>ATK バフ</t>
    <phoneticPr fontId="1"/>
  </si>
  <si>
    <t>ダメージ バフ</t>
    <phoneticPr fontId="1"/>
  </si>
  <si>
    <t>選択してください</t>
    <rPh sb="0" eb="2">
      <t xml:space="preserve">センタクシテクダサイ </t>
    </rPh>
    <phoneticPr fontId="1"/>
  </si>
  <si>
    <t>Dance and Wishes</t>
    <phoneticPr fontId="1"/>
  </si>
  <si>
    <t>-</t>
    <phoneticPr fontId="1"/>
  </si>
  <si>
    <t>2. カード一覧</t>
    <phoneticPr fontId="1"/>
  </si>
  <si>
    <t>1. シミュレータ</t>
    <phoneticPr fontId="1"/>
  </si>
  <si>
    <t>3. カード詳細</t>
    <rPh sb="6" eb="8">
      <t>ショウサイ</t>
    </rPh>
    <phoneticPr fontId="1"/>
  </si>
  <si>
    <t>今私が観測している魔法を一覧にしたものです。これも1. シミュレータに参照されています。</t>
    <rPh sb="0" eb="1">
      <t>イマ</t>
    </rPh>
    <rPh sb="1" eb="2">
      <t>ワタセィ</t>
    </rPh>
    <rPh sb="3" eb="5">
      <t>カンソク</t>
    </rPh>
    <rPh sb="9" eb="11">
      <t>マホウ</t>
    </rPh>
    <rPh sb="12" eb="14">
      <t>イチラn</t>
    </rPh>
    <rPh sb="35" eb="37">
      <t>サンショウ</t>
    </rPh>
    <phoneticPr fontId="1"/>
  </si>
  <si>
    <t>4. 魔法一覧</t>
    <rPh sb="3" eb="7">
      <t>マホウ</t>
    </rPh>
    <phoneticPr fontId="1"/>
  </si>
  <si>
    <t>5. キャラ・カード名一覧</t>
    <rPh sb="11" eb="13">
      <t>イチラn</t>
    </rPh>
    <phoneticPr fontId="1"/>
  </si>
  <si>
    <t>1. シミュレータでキャラ名とカード名を選択するために参照しています。新しいキャラ、カードが出た時はここに書き込めば選択できるようになります。</t>
    <rPh sb="20" eb="22">
      <t>センタク</t>
    </rPh>
    <rPh sb="27" eb="29">
      <t>サンショウ</t>
    </rPh>
    <rPh sb="35" eb="36">
      <t>アタラセィ</t>
    </rPh>
    <rPh sb="46" eb="47">
      <t>デタ</t>
    </rPh>
    <rPh sb="53" eb="54">
      <t>カキ</t>
    </rPh>
    <rPh sb="58" eb="60">
      <t>センタク</t>
    </rPh>
    <phoneticPr fontId="1"/>
  </si>
  <si>
    <t>6. シミュレータ(保護)</t>
    <rPh sb="10" eb="12">
      <t>ホゴ</t>
    </rPh>
    <phoneticPr fontId="1"/>
  </si>
  <si>
    <t>1. シミュレータの初期化に使っているものです。Excelの改良等以外ではいじらないでください。初期化できなくなります。パスワードはゲームタイトル（小文字、スペースなし）です。</t>
    <phoneticPr fontId="1"/>
  </si>
  <si>
    <t>協力者：ばま(Twitter:@M_deluxe_trP)</t>
    <rPh sb="0" eb="3">
      <t>キョウリョク</t>
    </rPh>
    <phoneticPr fontId="1"/>
  </si>
  <si>
    <t>お手持ちのカードの情報をここに載せ、フィルタ機能などを用いると編成が楽になると思います。バディが1. シミュレータに参照されています。新たなカードのデータはご自分で記入してください。</t>
    <rPh sb="9" eb="11">
      <t>ジョウホウ</t>
    </rPh>
    <rPh sb="15" eb="16">
      <t>ノセル</t>
    </rPh>
    <rPh sb="33" eb="36">
      <t>コウゲキ</t>
    </rPh>
    <rPh sb="37" eb="39">
      <t>スイソク</t>
    </rPh>
    <rPh sb="53" eb="55">
      <t>キノウナド</t>
    </rPh>
    <rPh sb="58" eb="60">
      <t>サンショウ</t>
    </rPh>
    <rPh sb="67" eb="68">
      <t>アラタ</t>
    </rPh>
    <rPh sb="82" eb="84">
      <t>キニュウ</t>
    </rPh>
    <phoneticPr fontId="1"/>
  </si>
  <si>
    <t>wikiから取得した各魔法レベルの魔法と特殊効果です。1. シミュレータに参照されています。新たなカードのデータはご自分で記入してください。</t>
    <rPh sb="6" eb="8">
      <t>シュトク</t>
    </rPh>
    <rPh sb="10" eb="13">
      <t>カクマホウ</t>
    </rPh>
    <rPh sb="17" eb="19">
      <t>マホウ</t>
    </rPh>
    <rPh sb="20" eb="24">
      <t>トクセィウ</t>
    </rPh>
    <rPh sb="37" eb="39">
      <t>サンショウ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</si>
</sst>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font>
      <sz val="12"/>
      <color theme="1"/>
      <name val="游ゴシック"/>
      <family val="2"/>
      <charset val="128"/>
      <scheme val="minor"/>
    </font>
    <font>
      <sz val="6"/>
      <name val="游ゴシック"/>
      <family val="2"/>
      <charset val="128"/>
      <scheme val="minor"/>
    </font>
  </fonts>
  <fills count="7">
    <fill>
      <patternFill patternType="none"/>
    </fill>
    <fill>
      <patternFill patternType="gray125"/>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rgb="FFFFFFCE"/>
        <bgColor indexed="64"/>
      </patternFill>
    </fill>
  </fills>
  <borders count="38">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1">
    <xf numFmtId="0" fontId="0" fillId="0" borderId="0">
      <alignment vertical="center"/>
    </xf>
  </cellStyleXfs>
  <cellXfs count="85">
    <xf numFmtId="0" fontId="0" fillId="0" borderId="0" xfId="0">
      <alignment vertical="center"/>
    </xf>
    <xf numFmtId="0" fontId="0" fillId="2" borderId="0" xfId="0" applyFill="1">
      <alignment vertical="center"/>
    </xf>
    <xf numFmtId="0" fontId="0" fillId="3" borderId="0" xfId="0" applyFill="1">
      <alignment vertical="center"/>
    </xf>
    <xf numFmtId="0" fontId="0" fillId="4" borderId="0" xfId="0" applyFill="1">
      <alignment vertical="center"/>
    </xf>
    <xf numFmtId="0" fontId="0" fillId="5" borderId="0" xfId="0" applyFill="1">
      <alignment vertical="center"/>
    </xf>
    <xf numFmtId="0" fontId="0" fillId="0" borderId="0" xfId="0" applyFill="1">
      <alignment vertical="center"/>
    </xf>
    <xf numFmtId="0" fontId="0" fillId="0" borderId="0" xfId="0" applyAlignment="1">
      <alignment horizontal="center" vertical="center"/>
    </xf>
    <xf numFmtId="0" fontId="0" fillId="0" borderId="17" xfId="0" applyBorder="1" applyAlignment="1">
      <alignment horizontal="center" vertical="center"/>
    </xf>
    <xf numFmtId="0" fontId="0" fillId="0" borderId="2" xfId="0" applyBorder="1" applyAlignment="1">
      <alignment horizontal="center" vertical="center"/>
    </xf>
    <xf numFmtId="0" fontId="0" fillId="0" borderId="25" xfId="0" applyBorder="1">
      <alignment vertical="center"/>
    </xf>
    <xf numFmtId="0" fontId="0" fillId="0" borderId="0" xfId="0" applyBorder="1" applyAlignment="1">
      <alignment horizontal="center" vertical="center"/>
    </xf>
    <xf numFmtId="0" fontId="0" fillId="0" borderId="0" xfId="0" applyBorder="1" applyAlignment="1">
      <alignment vertical="center"/>
    </xf>
    <xf numFmtId="0" fontId="0" fillId="0" borderId="19" xfId="0" applyBorder="1" applyAlignment="1">
      <alignment horizontal="center" vertical="center"/>
    </xf>
    <xf numFmtId="0" fontId="0" fillId="0" borderId="4" xfId="0" applyBorder="1" applyAlignment="1">
      <alignment horizontal="center" vertical="center"/>
    </xf>
    <xf numFmtId="0" fontId="0" fillId="0" borderId="1" xfId="0" applyBorder="1" applyAlignment="1">
      <alignment horizontal="center" vertical="center"/>
    </xf>
    <xf numFmtId="0" fontId="0" fillId="0" borderId="21" xfId="0" applyFill="1" applyBorder="1" applyAlignment="1">
      <alignment horizontal="center" vertical="center"/>
    </xf>
    <xf numFmtId="0" fontId="0" fillId="0" borderId="23" xfId="0" applyFill="1" applyBorder="1" applyAlignment="1">
      <alignment horizontal="center" vertical="center"/>
    </xf>
    <xf numFmtId="0" fontId="0" fillId="0" borderId="3" xfId="0" applyBorder="1">
      <alignment vertical="center"/>
    </xf>
    <xf numFmtId="0" fontId="0" fillId="0" borderId="5" xfId="0" applyBorder="1">
      <alignment vertical="center"/>
    </xf>
    <xf numFmtId="0" fontId="0" fillId="0" borderId="0" xfId="0" applyAlignment="1">
      <alignment vertical="center" wrapText="1"/>
    </xf>
    <xf numFmtId="0" fontId="0" fillId="0" borderId="0" xfId="0" applyAlignment="1">
      <alignment horizontal="right" vertical="center" wrapText="1"/>
    </xf>
    <xf numFmtId="0" fontId="0" fillId="0" borderId="2" xfId="0" applyBorder="1">
      <alignment vertical="center"/>
    </xf>
    <xf numFmtId="0" fontId="0" fillId="0" borderId="3" xfId="0" applyBorder="1" applyAlignment="1">
      <alignment vertical="center" wrapText="1"/>
    </xf>
    <xf numFmtId="0" fontId="0" fillId="0" borderId="4" xfId="0" applyBorder="1">
      <alignment vertical="center"/>
    </xf>
    <xf numFmtId="0" fontId="0" fillId="0" borderId="5" xfId="0" applyBorder="1" applyAlignment="1">
      <alignment vertical="center" wrapText="1"/>
    </xf>
    <xf numFmtId="0" fontId="0" fillId="0" borderId="32" xfId="0" applyNumberFormat="1" applyBorder="1" applyAlignment="1">
      <alignment vertical="center" wrapText="1"/>
    </xf>
    <xf numFmtId="0" fontId="0" fillId="0" borderId="32" xfId="0" applyBorder="1" applyAlignment="1">
      <alignment vertical="center" wrapText="1"/>
    </xf>
    <xf numFmtId="0" fontId="0" fillId="0" borderId="0" xfId="0" applyProtection="1">
      <alignment vertical="center"/>
    </xf>
    <xf numFmtId="0" fontId="0" fillId="0" borderId="0" xfId="0" applyAlignment="1">
      <alignment vertical="center"/>
    </xf>
    <xf numFmtId="0" fontId="0" fillId="0" borderId="8" xfId="0" applyBorder="1" applyAlignment="1">
      <alignment vertical="center"/>
    </xf>
    <xf numFmtId="0" fontId="0" fillId="0" borderId="29" xfId="0" applyBorder="1" applyAlignment="1">
      <alignment vertical="center"/>
    </xf>
    <xf numFmtId="0" fontId="0" fillId="0" borderId="4" xfId="0" applyBorder="1" applyAlignment="1">
      <alignment vertical="center"/>
    </xf>
    <xf numFmtId="0" fontId="0" fillId="0" borderId="27" xfId="0" applyBorder="1" applyAlignment="1">
      <alignment vertical="center"/>
    </xf>
    <xf numFmtId="0" fontId="0" fillId="0" borderId="21" xfId="0" applyBorder="1" applyAlignment="1">
      <alignment vertical="center"/>
    </xf>
    <xf numFmtId="0" fontId="0" fillId="0" borderId="22" xfId="0" applyBorder="1" applyAlignment="1">
      <alignment vertical="center"/>
    </xf>
    <xf numFmtId="0" fontId="0" fillId="0" borderId="23" xfId="0" applyBorder="1" applyAlignment="1">
      <alignment vertical="center"/>
    </xf>
    <xf numFmtId="0" fontId="0" fillId="0" borderId="24" xfId="0" applyBorder="1" applyAlignment="1">
      <alignment vertical="center"/>
    </xf>
    <xf numFmtId="0" fontId="0" fillId="0" borderId="31" xfId="0" applyBorder="1" applyAlignment="1">
      <alignment vertical="center" wrapText="1"/>
    </xf>
    <xf numFmtId="0" fontId="0" fillId="0" borderId="36" xfId="0" applyBorder="1" applyAlignment="1">
      <alignment vertical="center" wrapText="1"/>
    </xf>
    <xf numFmtId="0" fontId="0" fillId="0" borderId="37" xfId="0" applyBorder="1" applyAlignment="1">
      <alignment vertical="center" wrapText="1"/>
    </xf>
    <xf numFmtId="0" fontId="0" fillId="0" borderId="4" xfId="0" applyBorder="1" applyAlignment="1">
      <alignment vertical="center" wrapText="1"/>
    </xf>
    <xf numFmtId="0" fontId="0" fillId="0" borderId="19" xfId="0" applyBorder="1" applyAlignment="1">
      <alignment horizontal="center" vertical="center"/>
    </xf>
    <xf numFmtId="0" fontId="0" fillId="0" borderId="0" xfId="0" applyBorder="1" applyAlignment="1">
      <alignment horizontal="center" vertical="center"/>
    </xf>
    <xf numFmtId="0" fontId="0" fillId="0" borderId="17" xfId="0" applyBorder="1" applyAlignment="1">
      <alignment horizontal="center" vertical="center"/>
    </xf>
    <xf numFmtId="0" fontId="0" fillId="0" borderId="2" xfId="0" applyBorder="1" applyAlignment="1">
      <alignment horizontal="center" vertical="center"/>
    </xf>
    <xf numFmtId="0" fontId="0" fillId="0" borderId="4" xfId="0" applyBorder="1" applyAlignment="1">
      <alignment horizontal="center" vertical="center"/>
    </xf>
    <xf numFmtId="0" fontId="0" fillId="0" borderId="14" xfId="0" applyBorder="1" applyAlignment="1">
      <alignment horizontal="center" vertical="center"/>
    </xf>
    <xf numFmtId="0" fontId="0" fillId="0" borderId="19" xfId="0" applyBorder="1" applyAlignment="1">
      <alignment horizontal="center"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0" fontId="0" fillId="0" borderId="2" xfId="0" applyBorder="1" applyAlignment="1">
      <alignment horizontal="center" vertical="center"/>
    </xf>
    <xf numFmtId="0" fontId="0" fillId="0" borderId="26"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27" xfId="0" applyBorder="1" applyAlignment="1">
      <alignment horizontal="center" vertical="center"/>
    </xf>
    <xf numFmtId="0" fontId="0" fillId="0" borderId="5" xfId="0" applyBorder="1" applyAlignment="1">
      <alignment horizontal="center" vertical="center"/>
    </xf>
    <xf numFmtId="0" fontId="0" fillId="6" borderId="10" xfId="0" applyFill="1" applyBorder="1" applyAlignment="1">
      <alignment horizontal="center" vertical="center"/>
    </xf>
    <xf numFmtId="0" fontId="0" fillId="6" borderId="11" xfId="0" applyFill="1"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33" xfId="0" applyBorder="1" applyAlignment="1">
      <alignment horizontal="center" vertical="center"/>
    </xf>
    <xf numFmtId="0" fontId="0" fillId="0" borderId="1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6" xfId="0" applyBorder="1" applyAlignment="1">
      <alignment horizontal="center" vertical="center"/>
    </xf>
    <xf numFmtId="0" fontId="0" fillId="0" borderId="28" xfId="0" applyBorder="1" applyAlignment="1">
      <alignment horizontal="center" vertical="center"/>
    </xf>
    <xf numFmtId="0" fontId="0" fillId="0" borderId="7" xfId="0" applyBorder="1" applyAlignment="1">
      <alignment horizontal="center" vertical="center"/>
    </xf>
    <xf numFmtId="0" fontId="0" fillId="6" borderId="30" xfId="0" applyFill="1" applyBorder="1" applyAlignment="1">
      <alignment horizontal="center" vertical="center"/>
    </xf>
    <xf numFmtId="0" fontId="0" fillId="6" borderId="29" xfId="0" applyFill="1" applyBorder="1" applyAlignment="1">
      <alignment horizontal="center" vertical="center"/>
    </xf>
    <xf numFmtId="0" fontId="0" fillId="6" borderId="9" xfId="0" applyFill="1" applyBorder="1" applyAlignment="1">
      <alignment horizontal="center" vertical="center"/>
    </xf>
    <xf numFmtId="0" fontId="0" fillId="6" borderId="27" xfId="0" applyFill="1" applyBorder="1" applyAlignment="1">
      <alignment horizontal="center" vertical="center"/>
    </xf>
    <xf numFmtId="0" fontId="0" fillId="6" borderId="5" xfId="0" applyFill="1" applyBorder="1" applyAlignment="1">
      <alignment horizontal="center" vertical="center"/>
    </xf>
    <xf numFmtId="0" fontId="0" fillId="0" borderId="20" xfId="0" applyBorder="1" applyAlignment="1">
      <alignment horizontal="center" vertical="center"/>
    </xf>
    <xf numFmtId="0" fontId="0" fillId="6" borderId="17" xfId="0" applyFill="1" applyBorder="1" applyAlignment="1">
      <alignment horizontal="center" vertical="center"/>
    </xf>
    <xf numFmtId="0" fontId="0" fillId="6" borderId="18" xfId="0" applyFill="1" applyBorder="1" applyAlignment="1">
      <alignment horizontal="center" vertical="center"/>
    </xf>
    <xf numFmtId="0" fontId="0" fillId="6" borderId="20" xfId="0" applyFill="1" applyBorder="1" applyAlignment="1">
      <alignment horizontal="center" vertical="center"/>
    </xf>
    <xf numFmtId="0" fontId="0" fillId="6" borderId="21" xfId="0" applyFill="1" applyBorder="1" applyAlignment="1">
      <alignment horizontal="center" vertical="center"/>
    </xf>
    <xf numFmtId="0" fontId="0" fillId="6" borderId="22" xfId="0" applyFill="1" applyBorder="1" applyAlignment="1">
      <alignment horizontal="center" vertical="center"/>
    </xf>
    <xf numFmtId="0" fontId="0" fillId="0" borderId="17" xfId="0" applyFill="1" applyBorder="1" applyAlignment="1">
      <alignment horizontal="center" vertical="center"/>
    </xf>
    <xf numFmtId="0" fontId="0" fillId="0" borderId="18" xfId="0" applyFill="1" applyBorder="1" applyAlignment="1">
      <alignment horizontal="center" vertical="center"/>
    </xf>
    <xf numFmtId="0" fontId="0" fillId="6" borderId="23" xfId="0" applyFill="1" applyBorder="1" applyAlignment="1">
      <alignment horizontal="center" vertical="center"/>
    </xf>
    <xf numFmtId="0" fontId="0" fillId="6" borderId="24" xfId="0" applyFill="1" applyBorder="1" applyAlignment="1">
      <alignment horizontal="center" vertical="center"/>
    </xf>
    <xf numFmtId="0" fontId="0" fillId="0" borderId="0" xfId="0" applyBorder="1" applyAlignment="1">
      <alignment horizontal="center" vertical="center"/>
    </xf>
    <xf numFmtId="0" fontId="0" fillId="6" borderId="4" xfId="0" applyFill="1" applyBorder="1" applyAlignment="1">
      <alignment horizontal="center" vertical="center"/>
    </xf>
  </cellXfs>
  <cellStyles count="1">
    <cellStyle name="標準" xfId="0" builtinId="0"/>
  </cellStyles>
  <dxfs count="4">
    <dxf>
      <fill>
        <patternFill>
          <bgColor theme="5" tint="0.79998168889431442"/>
        </patternFill>
      </fill>
    </dxf>
    <dxf>
      <fill>
        <patternFill>
          <bgColor theme="9" tint="0.79998168889431442"/>
        </patternFill>
      </fill>
    </dxf>
    <dxf>
      <fill>
        <patternFill>
          <bgColor theme="8" tint="0.79998168889431442"/>
        </patternFill>
      </fill>
    </dxf>
    <dxf>
      <fill>
        <patternFill>
          <bgColor theme="6" tint="0.79998168889431442"/>
        </patternFill>
      </fill>
    </dxf>
  </dxfs>
  <tableStyles count="0" defaultTableStyle="TableStyleMedium2" defaultPivotStyle="PivotStyleLight16"/>
  <colors>
    <mruColors>
      <color rgb="FFFFFF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4</xdr:col>
      <xdr:colOff>6659</xdr:colOff>
      <xdr:row>39</xdr:row>
      <xdr:rowOff>12367</xdr:rowOff>
    </xdr:from>
    <xdr:to>
      <xdr:col>8</xdr:col>
      <xdr:colOff>386993</xdr:colOff>
      <xdr:row>42</xdr:row>
      <xdr:rowOff>29301</xdr:rowOff>
    </xdr:to>
    <xdr:sp macro="[0]!_xludf.restart" textlink="">
      <xdr:nvSpPr>
        <xdr:cNvPr id="5" name="角丸四角形 4">
          <a:extLst>
            <a:ext uri="{FF2B5EF4-FFF2-40B4-BE49-F238E27FC236}">
              <a16:creationId xmlns:a16="http://schemas.microsoft.com/office/drawing/2014/main" id="{8AE74A28-23B8-6749-8EB1-386876341B60}"/>
            </a:ext>
          </a:extLst>
        </xdr:cNvPr>
        <xdr:cNvSpPr/>
      </xdr:nvSpPr>
      <xdr:spPr>
        <a:xfrm>
          <a:off x="3709637" y="7132929"/>
          <a:ext cx="2114098" cy="79463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algn="ctr"/>
          <a:r>
            <a:rPr kumimoji="1" lang="ja-JP" altLang="en-US" sz="1800"/>
            <a:t>初期化</a:t>
          </a:r>
        </a:p>
      </xdr:txBody>
    </xdr:sp>
    <xdr:clientData/>
  </xdr:twoCellAnchor>
  <xdr:twoCellAnchor>
    <xdr:from>
      <xdr:col>9</xdr:col>
      <xdr:colOff>10370</xdr:colOff>
      <xdr:row>27</xdr:row>
      <xdr:rowOff>5232</xdr:rowOff>
    </xdr:from>
    <xdr:to>
      <xdr:col>10</xdr:col>
      <xdr:colOff>915636</xdr:colOff>
      <xdr:row>42</xdr:row>
      <xdr:rowOff>22166</xdr:rowOff>
    </xdr:to>
    <xdr:sp macro="[0]!vshi" textlink="">
      <xdr:nvSpPr>
        <xdr:cNvPr id="6" name="角丸四角形 5">
          <a:extLst>
            <a:ext uri="{FF2B5EF4-FFF2-40B4-BE49-F238E27FC236}">
              <a16:creationId xmlns:a16="http://schemas.microsoft.com/office/drawing/2014/main" id="{ABC6CECC-9A38-0041-B66F-C6059981B4AE}"/>
            </a:ext>
          </a:extLst>
        </xdr:cNvPr>
        <xdr:cNvSpPr/>
      </xdr:nvSpPr>
      <xdr:spPr>
        <a:xfrm>
          <a:off x="6403179" y="7125794"/>
          <a:ext cx="1390435" cy="794630"/>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kumimoji="1" lang="en-US" altLang="ja-JP" sz="1800"/>
            <a:t>VS.</a:t>
          </a:r>
          <a:r>
            <a:rPr kumimoji="1" lang="en-US" altLang="ja-JP" sz="1800" baseline="0"/>
            <a:t> </a:t>
          </a:r>
          <a:r>
            <a:rPr kumimoji="1" lang="ja-JP" altLang="en-US" sz="1800"/>
            <a:t>火</a:t>
          </a:r>
        </a:p>
      </xdr:txBody>
    </xdr:sp>
    <xdr:clientData/>
  </xdr:twoCellAnchor>
  <xdr:twoCellAnchor>
    <xdr:from>
      <xdr:col>11</xdr:col>
      <xdr:colOff>254001</xdr:colOff>
      <xdr:row>39</xdr:row>
      <xdr:rowOff>14941</xdr:rowOff>
    </xdr:from>
    <xdr:to>
      <xdr:col>14</xdr:col>
      <xdr:colOff>920208</xdr:colOff>
      <xdr:row>42</xdr:row>
      <xdr:rowOff>37107</xdr:rowOff>
    </xdr:to>
    <xdr:sp macro="[0]!vsmizy" textlink="">
      <xdr:nvSpPr>
        <xdr:cNvPr id="11" name="角丸四角形 10">
          <a:extLst>
            <a:ext uri="{FF2B5EF4-FFF2-40B4-BE49-F238E27FC236}">
              <a16:creationId xmlns:a16="http://schemas.microsoft.com/office/drawing/2014/main" id="{5A14863A-3115-7140-8F9D-C66D39734336}"/>
            </a:ext>
          </a:extLst>
        </xdr:cNvPr>
        <xdr:cNvSpPr/>
      </xdr:nvSpPr>
      <xdr:spPr>
        <a:xfrm>
          <a:off x="7814236" y="7231529"/>
          <a:ext cx="1293737" cy="799107"/>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kumimoji="1" lang="en-US" altLang="ja-JP" sz="1800"/>
            <a:t>VS.</a:t>
          </a:r>
          <a:r>
            <a:rPr kumimoji="1" lang="en-US" altLang="ja-JP" sz="1800" baseline="0"/>
            <a:t> </a:t>
          </a:r>
          <a:r>
            <a:rPr kumimoji="1" lang="ja-JP" altLang="en-US" sz="1800" baseline="0"/>
            <a:t>水</a:t>
          </a:r>
          <a:endParaRPr kumimoji="1" lang="ja-JP" altLang="en-US" sz="1800"/>
        </a:p>
      </xdr:txBody>
    </xdr:sp>
    <xdr:clientData/>
  </xdr:twoCellAnchor>
  <xdr:twoCellAnchor>
    <xdr:from>
      <xdr:col>15</xdr:col>
      <xdr:colOff>268941</xdr:colOff>
      <xdr:row>39</xdr:row>
      <xdr:rowOff>29882</xdr:rowOff>
    </xdr:from>
    <xdr:to>
      <xdr:col>17</xdr:col>
      <xdr:colOff>203031</xdr:colOff>
      <xdr:row>42</xdr:row>
      <xdr:rowOff>52048</xdr:rowOff>
    </xdr:to>
    <xdr:sp macro="[0]!vski" textlink="">
      <xdr:nvSpPr>
        <xdr:cNvPr id="12" name="角丸四角形 11">
          <a:extLst>
            <a:ext uri="{FF2B5EF4-FFF2-40B4-BE49-F238E27FC236}">
              <a16:creationId xmlns:a16="http://schemas.microsoft.com/office/drawing/2014/main" id="{BC1F77A0-AD1B-8549-97BE-2104ED3BDC52}"/>
            </a:ext>
          </a:extLst>
        </xdr:cNvPr>
        <xdr:cNvSpPr/>
      </xdr:nvSpPr>
      <xdr:spPr>
        <a:xfrm>
          <a:off x="9427882" y="7246470"/>
          <a:ext cx="1293737" cy="799107"/>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kumimoji="1" lang="en-US" altLang="ja-JP" sz="1800"/>
            <a:t>VS.</a:t>
          </a:r>
          <a:r>
            <a:rPr kumimoji="1" lang="en-US" altLang="ja-JP" sz="1800" baseline="0"/>
            <a:t> </a:t>
          </a:r>
          <a:r>
            <a:rPr kumimoji="1" lang="ja-JP" altLang="en-US" sz="1800" baseline="0"/>
            <a:t>木</a:t>
          </a:r>
          <a:endParaRPr kumimoji="1" lang="ja-JP" altLang="en-US" sz="1800"/>
        </a:p>
      </xdr:txBody>
    </xdr:sp>
    <xdr:clientData/>
  </xdr:twoCellAnchor>
  <xdr:twoCellAnchor>
    <xdr:from>
      <xdr:col>19</xdr:col>
      <xdr:colOff>14942</xdr:colOff>
      <xdr:row>39</xdr:row>
      <xdr:rowOff>14941</xdr:rowOff>
    </xdr:from>
    <xdr:to>
      <xdr:col>21</xdr:col>
      <xdr:colOff>217973</xdr:colOff>
      <xdr:row>42</xdr:row>
      <xdr:rowOff>37107</xdr:rowOff>
    </xdr:to>
    <xdr:sp macro="[0]!vsmu" textlink="">
      <xdr:nvSpPr>
        <xdr:cNvPr id="13" name="角丸四角形 12">
          <a:extLst>
            <a:ext uri="{FF2B5EF4-FFF2-40B4-BE49-F238E27FC236}">
              <a16:creationId xmlns:a16="http://schemas.microsoft.com/office/drawing/2014/main" id="{7D8244C9-EFA5-124F-9A3D-AA85F5103007}"/>
            </a:ext>
          </a:extLst>
        </xdr:cNvPr>
        <xdr:cNvSpPr/>
      </xdr:nvSpPr>
      <xdr:spPr>
        <a:xfrm>
          <a:off x="11041530" y="7231529"/>
          <a:ext cx="1293737" cy="799107"/>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kumimoji="1" lang="en-US" altLang="ja-JP" sz="1800"/>
            <a:t>VS.</a:t>
          </a:r>
          <a:r>
            <a:rPr kumimoji="1" lang="en-US" altLang="ja-JP" sz="1800" baseline="0"/>
            <a:t> </a:t>
          </a:r>
          <a:r>
            <a:rPr kumimoji="1" lang="ja-JP" altLang="en-US" sz="1800" baseline="0"/>
            <a:t>無</a:t>
          </a:r>
          <a:endParaRPr kumimoji="1" lang="ja-JP" altLang="en-US" sz="1800"/>
        </a:p>
      </xdr:txBody>
    </xdr:sp>
    <xdr:clientData/>
  </xdr:twoCellAnchor>
  <xdr:twoCellAnchor>
    <xdr:from>
      <xdr:col>22</xdr:col>
      <xdr:colOff>134471</xdr:colOff>
      <xdr:row>27</xdr:row>
      <xdr:rowOff>0</xdr:rowOff>
    </xdr:from>
    <xdr:to>
      <xdr:col>24</xdr:col>
      <xdr:colOff>68561</xdr:colOff>
      <xdr:row>42</xdr:row>
      <xdr:rowOff>22166</xdr:rowOff>
    </xdr:to>
    <xdr:sp macro="[0]!yuri" textlink="">
      <xdr:nvSpPr>
        <xdr:cNvPr id="14" name="角丸四角形 13">
          <a:extLst>
            <a:ext uri="{FF2B5EF4-FFF2-40B4-BE49-F238E27FC236}">
              <a16:creationId xmlns:a16="http://schemas.microsoft.com/office/drawing/2014/main" id="{29B12802-E593-5A47-BD44-3D302B3C6FF0}"/>
            </a:ext>
          </a:extLst>
        </xdr:cNvPr>
        <xdr:cNvSpPr/>
      </xdr:nvSpPr>
      <xdr:spPr>
        <a:xfrm>
          <a:off x="12640236" y="7216588"/>
          <a:ext cx="1293737" cy="799107"/>
        </a:xfrm>
        <a:prstGeom prst="round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kumimoji="1" lang="ja-JP" altLang="en-US" sz="1800"/>
            <a:t>全有利</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5D325-C2E8-8E45-8ED5-BF9D9EAA95A0}">
  <sheetPr codeName="Sheet5"/>
  <dimension ref="B1:C16"/>
  <sheetViews>
    <sheetView workbookViewId="0">
      <selection activeCell="C10" sqref="C10"/>
    </sheetView>
  </sheetViews>
  <sheetFormatPr baseColWidth="10" defaultRowHeight="20"/>
  <cols>
    <col min="2" max="2" width="20.7109375" customWidth="1"/>
    <col min="3" max="3" width="118.85546875" customWidth="1"/>
  </cols>
  <sheetData>
    <row r="1" spans="2:3" ht="21" thickBot="1"/>
    <row r="2" spans="2:3" ht="63">
      <c r="B2" s="21" t="s">
        <v>99</v>
      </c>
      <c r="C2" s="22" t="s">
        <v>100</v>
      </c>
    </row>
    <row r="3" spans="2:3" ht="22" thickBot="1">
      <c r="B3" s="23" t="s">
        <v>97</v>
      </c>
      <c r="C3" s="24" t="s">
        <v>98</v>
      </c>
    </row>
    <row r="4" spans="2:3" ht="21" thickBot="1">
      <c r="C4" s="19"/>
    </row>
    <row r="5" spans="2:3">
      <c r="B5" s="21" t="s">
        <v>96</v>
      </c>
      <c r="C5" s="17"/>
    </row>
    <row r="6" spans="2:3" s="19" customFormat="1" ht="101" customHeight="1">
      <c r="B6" s="37" t="s">
        <v>244</v>
      </c>
      <c r="C6" s="26" t="s">
        <v>102</v>
      </c>
    </row>
    <row r="7" spans="2:3" s="19" customFormat="1" ht="37" customHeight="1">
      <c r="B7" s="37" t="s">
        <v>243</v>
      </c>
      <c r="C7" s="25" t="s">
        <v>253</v>
      </c>
    </row>
    <row r="8" spans="2:3" s="19" customFormat="1" ht="37" customHeight="1">
      <c r="B8" s="37" t="s">
        <v>245</v>
      </c>
      <c r="C8" s="25" t="s">
        <v>254</v>
      </c>
    </row>
    <row r="9" spans="2:3" s="19" customFormat="1" ht="37" customHeight="1">
      <c r="B9" s="37" t="s">
        <v>247</v>
      </c>
      <c r="C9" s="26" t="s">
        <v>246</v>
      </c>
    </row>
    <row r="10" spans="2:3" s="19" customFormat="1" ht="45" customHeight="1">
      <c r="B10" s="38" t="s">
        <v>248</v>
      </c>
      <c r="C10" s="39" t="s">
        <v>249</v>
      </c>
    </row>
    <row r="11" spans="2:3" s="19" customFormat="1" ht="49" customHeight="1" thickBot="1">
      <c r="B11" s="40" t="s">
        <v>250</v>
      </c>
      <c r="C11" s="24" t="s">
        <v>251</v>
      </c>
    </row>
    <row r="12" spans="2:3">
      <c r="C12" s="19"/>
    </row>
    <row r="13" spans="2:3" ht="21">
      <c r="C13" s="20" t="s">
        <v>101</v>
      </c>
    </row>
    <row r="14" spans="2:3" ht="21">
      <c r="C14" s="20" t="s">
        <v>252</v>
      </c>
    </row>
    <row r="15" spans="2:3">
      <c r="C15" s="19"/>
    </row>
    <row r="16" spans="2:3">
      <c r="C16" s="19"/>
    </row>
  </sheetData>
  <sheetProtection algorithmName="SHA-512" hashValue="9kYH4tVcn/qxVduWmZK8CSeBnH4C+zduhsamjQsR91kl3nD4mccb+P2QvOos0wCCf3R3iD870RnuIjjKu7A+kQ==" saltValue="y16r7n5R1mqlcN7C4zxb0g==" spinCount="100000" sheet="1" objects="1" scenarios="1"/>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8AC460-60ED-4844-AF35-DD2167A8814D}">
  <sheetPr codeName="Sheet3"/>
  <dimension ref="B1:AD42"/>
  <sheetViews>
    <sheetView tabSelected="1" zoomScale="85" workbookViewId="0">
      <selection activeCell="I16" sqref="I16:J16"/>
    </sheetView>
  </sheetViews>
  <sheetFormatPr baseColWidth="10" defaultRowHeight="20"/>
  <cols>
    <col min="2" max="2" width="14.7109375" customWidth="1"/>
    <col min="3" max="3" width="11" customWidth="1"/>
    <col min="4" max="4" width="4.28515625" customWidth="1"/>
    <col min="5" max="5" width="11" customWidth="1"/>
    <col min="6" max="6" width="4.28515625" customWidth="1"/>
    <col min="7" max="8" width="1.28515625" customWidth="1"/>
    <col min="9" max="9" width="11" customWidth="1"/>
    <col min="10" max="10" width="4.28515625" customWidth="1"/>
    <col min="11" max="11" width="11" customWidth="1"/>
    <col min="12" max="12" width="4.28515625" customWidth="1"/>
    <col min="13" max="14" width="1.28515625" customWidth="1"/>
    <col min="15" max="15" width="11" customWidth="1"/>
    <col min="16" max="16" width="4.28515625" customWidth="1"/>
    <col min="17" max="17" width="11" customWidth="1"/>
    <col min="18" max="18" width="4.28515625" customWidth="1"/>
    <col min="19" max="20" width="1.28515625" customWidth="1"/>
    <col min="21" max="21" width="11" customWidth="1"/>
    <col min="22" max="22" width="4.28515625" customWidth="1"/>
    <col min="23" max="23" width="11" customWidth="1"/>
    <col min="24" max="24" width="4.28515625" customWidth="1"/>
    <col min="25" max="26" width="1.28515625" customWidth="1"/>
    <col min="27" max="27" width="11" customWidth="1"/>
    <col min="28" max="28" width="4.28515625" customWidth="1"/>
    <col min="29" max="29" width="11" customWidth="1"/>
    <col min="30" max="30" width="4.28515625" customWidth="1"/>
  </cols>
  <sheetData>
    <row r="1" spans="2:30" ht="21" thickBot="1">
      <c r="B1" s="27"/>
      <c r="C1" s="27"/>
      <c r="D1" s="27"/>
      <c r="E1" s="27"/>
      <c r="F1" s="27"/>
      <c r="G1" s="27"/>
      <c r="H1" s="27"/>
      <c r="I1" s="27"/>
      <c r="J1" s="27"/>
      <c r="K1" s="27"/>
      <c r="L1" s="27"/>
      <c r="M1" s="27"/>
      <c r="N1" s="27"/>
      <c r="O1" s="27"/>
      <c r="P1" s="27"/>
      <c r="Q1" s="27"/>
      <c r="R1" s="27"/>
      <c r="S1" s="27"/>
      <c r="T1" s="27"/>
      <c r="U1" s="27"/>
      <c r="V1" s="27"/>
      <c r="W1" s="27"/>
      <c r="X1" s="27"/>
      <c r="Y1" s="27"/>
      <c r="Z1" s="27"/>
      <c r="AA1" s="27"/>
      <c r="AB1" s="27"/>
      <c r="AC1" s="27"/>
      <c r="AD1" s="27"/>
    </row>
    <row r="2" spans="2:30">
      <c r="C2" s="51" t="s">
        <v>0</v>
      </c>
      <c r="D2" s="52"/>
      <c r="E2" s="52" t="s">
        <v>8</v>
      </c>
      <c r="F2" s="53"/>
      <c r="G2" s="59"/>
      <c r="H2" s="60"/>
      <c r="I2" s="51" t="s">
        <v>0</v>
      </c>
      <c r="J2" s="52"/>
      <c r="K2" s="52" t="s">
        <v>8</v>
      </c>
      <c r="L2" s="53"/>
      <c r="M2" s="59"/>
      <c r="N2" s="60"/>
      <c r="O2" s="51" t="s">
        <v>0</v>
      </c>
      <c r="P2" s="52"/>
      <c r="Q2" s="52" t="s">
        <v>8</v>
      </c>
      <c r="R2" s="53"/>
      <c r="S2" s="59"/>
      <c r="T2" s="60"/>
      <c r="U2" s="51" t="s">
        <v>0</v>
      </c>
      <c r="V2" s="52"/>
      <c r="W2" s="52" t="s">
        <v>8</v>
      </c>
      <c r="X2" s="53"/>
      <c r="Y2" s="59"/>
      <c r="Z2" s="60"/>
      <c r="AA2" s="51" t="s">
        <v>0</v>
      </c>
      <c r="AB2" s="52"/>
      <c r="AC2" s="52" t="s">
        <v>8</v>
      </c>
      <c r="AD2" s="53"/>
    </row>
    <row r="3" spans="2:30" ht="22" customHeight="1" thickBot="1">
      <c r="C3" s="84"/>
      <c r="D3" s="71"/>
      <c r="E3" s="71"/>
      <c r="F3" s="72"/>
      <c r="G3" s="59"/>
      <c r="H3" s="60"/>
      <c r="I3" s="84"/>
      <c r="J3" s="71"/>
      <c r="K3" s="71"/>
      <c r="L3" s="72"/>
      <c r="M3" s="59"/>
      <c r="N3" s="60"/>
      <c r="O3" s="84"/>
      <c r="P3" s="71"/>
      <c r="Q3" s="71"/>
      <c r="R3" s="72"/>
      <c r="S3" s="59"/>
      <c r="T3" s="60"/>
      <c r="U3" s="84"/>
      <c r="V3" s="71"/>
      <c r="W3" s="71"/>
      <c r="X3" s="72"/>
      <c r="Y3" s="59"/>
      <c r="Z3" s="60"/>
      <c r="AA3" s="84"/>
      <c r="AB3" s="71"/>
      <c r="AC3" s="71"/>
      <c r="AD3" s="72"/>
    </row>
    <row r="4" spans="2:30" ht="22" customHeight="1" thickBot="1">
      <c r="C4" s="5"/>
      <c r="D4" s="5"/>
      <c r="F4" s="5"/>
      <c r="G4" s="83"/>
      <c r="H4" s="83"/>
      <c r="I4" s="5"/>
      <c r="J4" s="5"/>
      <c r="L4" s="5"/>
      <c r="M4" s="83"/>
      <c r="N4" s="83"/>
      <c r="O4" s="5"/>
      <c r="P4" s="5"/>
      <c r="R4" s="5"/>
      <c r="S4" s="83"/>
      <c r="T4" s="83"/>
      <c r="U4" s="5"/>
      <c r="V4" s="5"/>
      <c r="X4" s="5"/>
      <c r="Y4" s="83"/>
      <c r="Z4" s="83"/>
      <c r="AA4" s="5"/>
      <c r="AB4" s="5"/>
      <c r="AD4" s="5"/>
    </row>
    <row r="5" spans="2:30" ht="21" thickBot="1">
      <c r="B5" s="9"/>
      <c r="C5" s="65" t="s">
        <v>75</v>
      </c>
      <c r="D5" s="66"/>
      <c r="E5" s="66"/>
      <c r="F5" s="67"/>
      <c r="G5" s="59"/>
      <c r="H5" s="60"/>
      <c r="I5" s="65" t="s">
        <v>75</v>
      </c>
      <c r="J5" s="66"/>
      <c r="K5" s="66"/>
      <c r="L5" s="67"/>
      <c r="M5" s="59"/>
      <c r="N5" s="60"/>
      <c r="O5" s="65" t="s">
        <v>75</v>
      </c>
      <c r="P5" s="66"/>
      <c r="Q5" s="66"/>
      <c r="R5" s="67"/>
      <c r="S5" s="59"/>
      <c r="T5" s="60"/>
      <c r="U5" s="65" t="s">
        <v>75</v>
      </c>
      <c r="V5" s="66"/>
      <c r="W5" s="66"/>
      <c r="X5" s="67"/>
      <c r="Y5" s="59"/>
      <c r="Z5" s="60"/>
      <c r="AA5" s="65" t="s">
        <v>75</v>
      </c>
      <c r="AB5" s="66"/>
      <c r="AC5" s="66"/>
      <c r="AD5" s="67"/>
    </row>
    <row r="6" spans="2:30" ht="21" thickBot="1">
      <c r="B6" s="43" t="s">
        <v>80</v>
      </c>
      <c r="C6" s="57"/>
      <c r="D6" s="68"/>
      <c r="E6" s="68"/>
      <c r="F6" s="58"/>
      <c r="G6" s="59"/>
      <c r="H6" s="60"/>
      <c r="I6" s="57"/>
      <c r="J6" s="68"/>
      <c r="K6" s="68"/>
      <c r="L6" s="58"/>
      <c r="M6" s="59"/>
      <c r="N6" s="60"/>
      <c r="O6" s="57"/>
      <c r="P6" s="68"/>
      <c r="Q6" s="68"/>
      <c r="R6" s="58"/>
      <c r="S6" s="59"/>
      <c r="T6" s="60"/>
      <c r="U6" s="57"/>
      <c r="V6" s="68"/>
      <c r="W6" s="68"/>
      <c r="X6" s="58"/>
      <c r="Y6" s="59"/>
      <c r="Z6" s="60"/>
      <c r="AA6" s="57"/>
      <c r="AB6" s="68"/>
      <c r="AC6" s="68"/>
      <c r="AD6" s="58"/>
    </row>
    <row r="7" spans="2:30">
      <c r="B7" s="46" t="s">
        <v>77</v>
      </c>
      <c r="C7" s="29" t="str">
        <f>IF(COUNTIF($C$3:$AD$3,DGET(カード一覧!$A:$M,カード一覧!$M$1,C2:F3))&gt;0, DGET(カード一覧!$A:$M,カード一覧!$M$1,C2:F3), IF(COUNTIF($C$3:$AD$3,DGET(カード一覧!$A:$M,カード一覧!$L$1,C2:F3))&gt;0, DGET(カード一覧!$A:$M,カード一覧!$L$1,C2:F3), "カード選択"))</f>
        <v>カード選択</v>
      </c>
      <c r="D7" s="30" t="str">
        <f>IF(COUNTIF($C$3:$AD$3,DGET(カード一覧!$A:$M,カード一覧!$M$1,C2:F3))&gt;0, "中", IF(COUNTIF($C$3:$AD$3,DGET(カード一覧!$A:$L,カード一覧!$L$1,C2:F3))&gt;0, "小", "-"))</f>
        <v>-</v>
      </c>
      <c r="E7" s="69"/>
      <c r="F7" s="70"/>
      <c r="G7" s="59"/>
      <c r="H7" s="60"/>
      <c r="I7" s="29" t="str">
        <f>IF(COUNTIF($C$3:$AD$3,DGET(カード一覧!$A:$M,カード一覧!$M$1,I2:L3))&gt;0, DGET(カード一覧!$A:$M,カード一覧!$M$1,I2:L3), IF(COUNTIF($C$3:$AD$3,DGET(カード一覧!$A:$M,カード一覧!$L$1,I2:L3))&gt;0, DGET(カード一覧!$A:$M,カード一覧!$L$1,I2:L3), "カード選択"))</f>
        <v>カード選択</v>
      </c>
      <c r="J7" s="30" t="str">
        <f>IF(COUNTIF($C$3:$AD$3,DGET(カード一覧!$A:$M,カード一覧!$M$1,I2:L3))&gt;0, "中", IF(COUNTIF($C$3:$AD$3,DGET(カード一覧!$A:$L,カード一覧!$L$1,I2:L3))&gt;0, "小", "-"))</f>
        <v>-</v>
      </c>
      <c r="K7" s="69"/>
      <c r="L7" s="70"/>
      <c r="M7" s="59"/>
      <c r="N7" s="60"/>
      <c r="O7" s="29" t="str">
        <f>IF(COUNTIF($C$3:$AD$3,DGET(カード一覧!$A:$M,カード一覧!$M$1,O2:R3))&gt;0, DGET(カード一覧!$A:$M,カード一覧!$M$1,O2:R3), IF(COUNTIF($C$3:$AD$3,DGET(カード一覧!$A:$M,カード一覧!$L$1,O2:R3))&gt;0, DGET(カード一覧!$A:$M,カード一覧!$L$1,O2:R3), "カード選択"))</f>
        <v>カード選択</v>
      </c>
      <c r="P7" s="30" t="str">
        <f>IF(COUNTIF($C$3:$AD$3,DGET(カード一覧!$A:$M,カード一覧!$M$1,O2:R3))&gt;0, "中", IF(COUNTIF($C$3:$AD$3,DGET(カード一覧!$A:$L,カード一覧!$L$1,O2:R3))&gt;0, "小", "-"))</f>
        <v>-</v>
      </c>
      <c r="Q7" s="69"/>
      <c r="R7" s="70"/>
      <c r="S7" s="59"/>
      <c r="T7" s="60"/>
      <c r="U7" s="29" t="str">
        <f>IF(COUNTIF($C$3:$AD$3,DGET(カード一覧!$A:$M,カード一覧!$M$1,U2:X3))&gt;0, DGET(カード一覧!$A:$M,カード一覧!$M$1,U2:X3), IF(COUNTIF($C$3:$AD$3,DGET(カード一覧!$A:$M,カード一覧!$L$1,U2:X3))&gt;0, DGET(カード一覧!$A:$M,カード一覧!$L$1,U2:X3), "カード選択"))</f>
        <v>カード選択</v>
      </c>
      <c r="V7" s="30" t="str">
        <f>IF(COUNTIF($C$3:$AD$3,DGET(カード一覧!$A:$M,カード一覧!$M$1,U2:X3))&gt;0, "中", IF(COUNTIF($C$3:$AD$3,DGET(カード一覧!$A:$L,カード一覧!$L$1,U2:X3))&gt;0, "小", "-"))</f>
        <v>-</v>
      </c>
      <c r="W7" s="69"/>
      <c r="X7" s="70"/>
      <c r="Y7" s="59"/>
      <c r="Z7" s="60"/>
      <c r="AA7" s="29" t="str">
        <f>IF(COUNTIF($C$3:$AD$3,DGET(カード一覧!$A:$M,カード一覧!$M$1,AA2:AD3))&gt;0, DGET(カード一覧!$A:$M,カード一覧!$M$1,AA2:AD3), IF(COUNTIF($C$3:$AD$3,DGET(カード一覧!$A:$M,カード一覧!$L$1,AA2:AD3))&gt;0, DGET(カード一覧!$A:$M,カード一覧!$L$1,AA2:AD3), "カード選択"))</f>
        <v>カード選択</v>
      </c>
      <c r="AB7" s="30" t="str">
        <f>IF(COUNTIF($C$3:$AD$3,DGET(カード一覧!$A:$M,カード一覧!$M$1,AA2:AD3))&gt;0, "中", IF(COUNTIF($C$3:$AD$3,DGET(カード一覧!$A:$L,カード一覧!$L$1,AA2:AD3))&gt;0, "小", "-"))</f>
        <v>-</v>
      </c>
      <c r="AC7" s="69"/>
      <c r="AD7" s="70"/>
    </row>
    <row r="8" spans="2:30" ht="21" thickBot="1">
      <c r="B8" s="47"/>
      <c r="C8" s="31" t="str">
        <f>IF(COUNTIF($C$3:$AD$3,DGET(カード一覧!$A:$M,カード一覧!$K$1,C2:F3))&gt;0, DGET(カード一覧!$A:$M,カード一覧!$K$1,C2:F3), "カード選択")</f>
        <v>カード選択</v>
      </c>
      <c r="D8" s="32" t="str">
        <f>IF(COUNTIF($C$3:$AD$3,DGET(カード一覧!$A:$M,カード一覧!$K$1,C2:F3))&gt;0,"小","-")</f>
        <v>-</v>
      </c>
      <c r="E8" s="71"/>
      <c r="F8" s="72"/>
      <c r="G8" s="59"/>
      <c r="H8" s="60"/>
      <c r="I8" s="31" t="str">
        <f>IF(COUNTIF($C$3:$AD$3,DGET(カード一覧!$A:$M,カード一覧!$K$1,I2:L3))&gt;0, DGET(カード一覧!$A:$M,カード一覧!$K$1,I2:L3), "カード選択")</f>
        <v>カード選択</v>
      </c>
      <c r="J8" s="32" t="str">
        <f>IF(COUNTIF($C$3:$AD$3,DGET(カード一覧!$A:$M,カード一覧!$K$1,I2:L3))&gt;0,"小","-")</f>
        <v>-</v>
      </c>
      <c r="K8" s="71"/>
      <c r="L8" s="72"/>
      <c r="M8" s="59"/>
      <c r="N8" s="60"/>
      <c r="O8" s="31" t="str">
        <f>IF(COUNTIF($C$3:$AD$3,DGET(カード一覧!$A:$M,カード一覧!$K$1,O2:R3))&gt;0, DGET(カード一覧!$A:$M,カード一覧!$K$1,O2:R3), "カード選択")</f>
        <v>カード選択</v>
      </c>
      <c r="P8" s="32" t="str">
        <f>IF(COUNTIF($C$3:$AD$3,DGET(カード一覧!$A:$M,カード一覧!$K$1,O2:R3))&gt;0,"小","-")</f>
        <v>-</v>
      </c>
      <c r="Q8" s="71"/>
      <c r="R8" s="72"/>
      <c r="S8" s="59"/>
      <c r="T8" s="60"/>
      <c r="U8" s="31" t="str">
        <f>IF(COUNTIF($C$3:$AD$3,DGET(カード一覧!$A:$M,カード一覧!$K$1,U2:X3))&gt;0, DGET(カード一覧!$A:$M,カード一覧!$K$1,U2:X3), "カード選択")</f>
        <v>カード選択</v>
      </c>
      <c r="V8" s="32" t="str">
        <f>IF(COUNTIF($C$3:$AD$3,DGET(カード一覧!$A:$M,カード一覧!$K$1,U2:X3))&gt;0,"小","-")</f>
        <v>-</v>
      </c>
      <c r="W8" s="71"/>
      <c r="X8" s="72"/>
      <c r="Y8" s="59"/>
      <c r="Z8" s="60"/>
      <c r="AA8" s="31" t="str">
        <f>IF(COUNTIF($C$3:$AD$3,DGET(カード一覧!$A:$M,カード一覧!$K$1,AA2:AD3))&gt;0, DGET(カード一覧!$A:$M,カード一覧!$K$1,AA2:AD3), "カード選択")</f>
        <v>カード選択</v>
      </c>
      <c r="AB8" s="32" t="str">
        <f>IF(COUNTIF($C$3:$AD$3,DGET(カード一覧!$A:$M,カード一覧!$K$1,AA2:AD3))&gt;0,"小","-")</f>
        <v>-</v>
      </c>
      <c r="AC8" s="71"/>
      <c r="AD8" s="72"/>
    </row>
    <row r="9" spans="2:30" ht="21" thickBot="1">
      <c r="B9" s="6"/>
      <c r="G9" s="83"/>
      <c r="H9" s="83"/>
      <c r="M9" s="83"/>
      <c r="N9" s="83"/>
      <c r="S9" s="83"/>
      <c r="T9" s="83"/>
      <c r="Y9" s="83"/>
      <c r="Z9" s="83"/>
    </row>
    <row r="10" spans="2:30" ht="21" thickBot="1">
      <c r="B10" s="6"/>
      <c r="C10" s="48" t="s">
        <v>76</v>
      </c>
      <c r="D10" s="73"/>
      <c r="E10" s="73"/>
      <c r="F10" s="49"/>
      <c r="G10" s="59"/>
      <c r="H10" s="60"/>
      <c r="I10" s="48" t="s">
        <v>76</v>
      </c>
      <c r="J10" s="73"/>
      <c r="K10" s="73"/>
      <c r="L10" s="49"/>
      <c r="M10" s="59"/>
      <c r="N10" s="60"/>
      <c r="O10" s="48" t="s">
        <v>76</v>
      </c>
      <c r="P10" s="73"/>
      <c r="Q10" s="73"/>
      <c r="R10" s="49"/>
      <c r="S10" s="59"/>
      <c r="T10" s="60"/>
      <c r="U10" s="48" t="s">
        <v>76</v>
      </c>
      <c r="V10" s="73"/>
      <c r="W10" s="73"/>
      <c r="X10" s="49"/>
      <c r="Y10" s="59"/>
      <c r="Z10" s="60"/>
      <c r="AA10" s="48" t="s">
        <v>76</v>
      </c>
      <c r="AB10" s="73"/>
      <c r="AC10" s="73"/>
      <c r="AD10" s="49"/>
    </row>
    <row r="11" spans="2:30" ht="21" thickBot="1">
      <c r="B11" s="14" t="s">
        <v>80</v>
      </c>
      <c r="C11" s="74"/>
      <c r="D11" s="76"/>
      <c r="E11" s="76"/>
      <c r="F11" s="75"/>
      <c r="G11" s="59"/>
      <c r="H11" s="60"/>
      <c r="I11" s="74"/>
      <c r="J11" s="76"/>
      <c r="K11" s="76"/>
      <c r="L11" s="75"/>
      <c r="M11" s="59"/>
      <c r="N11" s="60"/>
      <c r="O11" s="74"/>
      <c r="P11" s="76"/>
      <c r="Q11" s="76"/>
      <c r="R11" s="75"/>
      <c r="S11" s="59"/>
      <c r="T11" s="60"/>
      <c r="U11" s="74"/>
      <c r="V11" s="76"/>
      <c r="W11" s="76"/>
      <c r="X11" s="75"/>
      <c r="Y11" s="59"/>
      <c r="Z11" s="60"/>
      <c r="AA11" s="74"/>
      <c r="AB11" s="76"/>
      <c r="AC11" s="76"/>
      <c r="AD11" s="75"/>
    </row>
    <row r="12" spans="2:30">
      <c r="B12" s="46" t="s">
        <v>77</v>
      </c>
      <c r="C12" s="33" t="str">
        <f>IF(COUNTIF($C$3:$AD$3,DGET(カード一覧!$A:$M,カード一覧!$J$1,C2:F3))&gt;0, DGET(カード一覧!$A:$M,カード一覧!$J$1,C2:F3), "カード選択")</f>
        <v>カード選択</v>
      </c>
      <c r="D12" s="34" t="str">
        <f>IF(COUNTIF($C$3:$AD$3,DGET(カード一覧!$A:$M,カード一覧!$J$1,C2:F3))&gt;0, "中", "-")</f>
        <v>-</v>
      </c>
      <c r="E12" s="77"/>
      <c r="F12" s="78"/>
      <c r="G12" s="59"/>
      <c r="H12" s="60"/>
      <c r="I12" s="33" t="str">
        <f>IF(COUNTIF($C$3:$AD$3,DGET(カード一覧!$A:$M,カード一覧!$J$1,I2:L3))&gt;0, DGET(カード一覧!$A:$M,カード一覧!$J$1,I2:L3), "カード選択")</f>
        <v>カード選択</v>
      </c>
      <c r="J12" s="34" t="str">
        <f>IF(COUNTIF($C$3:$AD$3,DGET(カード一覧!$A:$M,カード一覧!$J$1,I2:L3))&gt;0, "中", "-")</f>
        <v>-</v>
      </c>
      <c r="K12" s="77"/>
      <c r="L12" s="78"/>
      <c r="M12" s="59"/>
      <c r="N12" s="60"/>
      <c r="O12" s="33" t="str">
        <f>IF(COUNTIF($C$3:$AD$3,DGET(カード一覧!$A:$M,カード一覧!$J$1,O2:R3))&gt;0, DGET(カード一覧!$A:$M,カード一覧!$J$1,O2:R3), "カード選択")</f>
        <v>カード選択</v>
      </c>
      <c r="P12" s="34" t="str">
        <f>IF(COUNTIF($C$3:$AD$3,DGET(カード一覧!$A:$M,カード一覧!$J$1,O2:R3))&gt;0, "中", "-")</f>
        <v>-</v>
      </c>
      <c r="Q12" s="77"/>
      <c r="R12" s="78"/>
      <c r="S12" s="59"/>
      <c r="T12" s="60"/>
      <c r="U12" s="33" t="str">
        <f>IF(COUNTIF($C$3:$AD$3,DGET(カード一覧!$A:$M,カード一覧!$J$1,U2:X3))&gt;0, DGET(カード一覧!$A:$M,カード一覧!$J$1,U2:X3), "カード選択")</f>
        <v>カード選択</v>
      </c>
      <c r="V12" s="34" t="str">
        <f>IF(COUNTIF($C$3:$AD$3,DGET(カード一覧!$A:$M,カード一覧!$J$1,U2:X3))&gt;0, "中", "-")</f>
        <v>-</v>
      </c>
      <c r="W12" s="77"/>
      <c r="X12" s="78"/>
      <c r="Y12" s="59"/>
      <c r="Z12" s="60"/>
      <c r="AA12" s="33" t="str">
        <f>IF(COUNTIF($C$3:$AD$3,DGET(カード一覧!$A:$M,カード一覧!$J$1,AA2:AD3))&gt;0, DGET(カード一覧!$A:$M,カード一覧!$J$1,AA2:AD3), "カード選択")</f>
        <v>カード選択</v>
      </c>
      <c r="AB12" s="34" t="str">
        <f>IF(COUNTIF($C$3:$AD$3,DGET(カード一覧!$A:$M,カード一覧!$J$1,AA2:AD3))&gt;0, "中", "-")</f>
        <v>-</v>
      </c>
      <c r="AC12" s="77"/>
      <c r="AD12" s="78"/>
    </row>
    <row r="13" spans="2:30" ht="21" thickBot="1">
      <c r="B13" s="47"/>
      <c r="C13" s="35" t="str">
        <f>IF(COUNTIF($C$3:$AD$3,DGET(カード一覧!$A:$M,カード一覧!$I$1,C2:F3))&gt;0, DGET(カード一覧!$A:$M,カード一覧!$I$1,C2:F3), "カード選択")</f>
        <v>カード選択</v>
      </c>
      <c r="D13" s="36" t="str">
        <f>IF(COUNTIF($C$3:$AD$3,DGET(カード一覧!$A:$M,カード一覧!$I$1,C2:F3))&gt;0, "小", "-")</f>
        <v>-</v>
      </c>
      <c r="E13" s="81"/>
      <c r="F13" s="82"/>
      <c r="G13" s="59"/>
      <c r="H13" s="60"/>
      <c r="I13" s="35" t="str">
        <f>IF(COUNTIF($C$3:$AD$3,DGET(カード一覧!$A:$M,カード一覧!$I$1,I2:L3))&gt;0, DGET(カード一覧!$A:$M,カード一覧!$I$1,I2:L3), "カード選択")</f>
        <v>カード選択</v>
      </c>
      <c r="J13" s="36" t="str">
        <f>IF(COUNTIF($C$3:$AD$3,DGET(カード一覧!$A:$M,カード一覧!$I$1,I2:L3))&gt;0, "小", "-")</f>
        <v>-</v>
      </c>
      <c r="K13" s="81"/>
      <c r="L13" s="82"/>
      <c r="M13" s="59"/>
      <c r="N13" s="60"/>
      <c r="O13" s="35" t="str">
        <f>IF(COUNTIF($C$3:$AD$3,DGET(カード一覧!$A:$M,カード一覧!$I$1,O2:R3))&gt;0, DGET(カード一覧!$A:$M,カード一覧!$I$1,O2:R3), "カード選択")</f>
        <v>カード選択</v>
      </c>
      <c r="P13" s="36" t="str">
        <f>IF(COUNTIF($C$3:$AD$3,DGET(カード一覧!$A:$M,カード一覧!$I$1,O2:R3))&gt;0, "小", "-")</f>
        <v>-</v>
      </c>
      <c r="Q13" s="81"/>
      <c r="R13" s="82"/>
      <c r="S13" s="59"/>
      <c r="T13" s="60"/>
      <c r="U13" s="35" t="str">
        <f>IF(COUNTIF($C$3:$AD$3,DGET(カード一覧!$A:$M,カード一覧!$I$1,U2:X3))&gt;0, DGET(カード一覧!$A:$M,カード一覧!$I$1,U2:X3), "カード選択")</f>
        <v>カード選択</v>
      </c>
      <c r="V13" s="36" t="str">
        <f>IF(COUNTIF($C$3:$AD$3,DGET(カード一覧!$A:$M,カード一覧!$I$1,U2:X3))&gt;0, "小", "-")</f>
        <v>-</v>
      </c>
      <c r="W13" s="81"/>
      <c r="X13" s="82"/>
      <c r="Y13" s="59"/>
      <c r="Z13" s="60"/>
      <c r="AA13" s="35" t="str">
        <f>IF(COUNTIF($C$3:$AD$3,DGET(カード一覧!$A:$M,カード一覧!$I$1,AA2:AD3))&gt;0, DGET(カード一覧!$A:$M,カード一覧!$I$1,AA2:AD3), "カード選択")</f>
        <v>カード選択</v>
      </c>
      <c r="AB13" s="36" t="str">
        <f>IF(COUNTIF($C$3:$AD$3,DGET(カード一覧!$A:$M,カード一覧!$I$1,AA2:AD3))&gt;0, "小", "-")</f>
        <v>-</v>
      </c>
      <c r="AC13" s="81"/>
      <c r="AD13" s="82"/>
    </row>
    <row r="14" spans="2:30" ht="21" thickBot="1">
      <c r="B14" s="41" t="s">
        <v>89</v>
      </c>
      <c r="C14" s="48" t="str">
        <f>IFERROR(IF(C16&lt;5, DGET(カード詳細!$A$2:$N$115,カード詳細!$C$2,C2:F3),IF(C16&lt;10, DGET(カード詳細!$A$2:$N$115,カード詳細!$E$2,C2:F3), IF(C16=10, DGET(カード詳細!A2:N115,カード詳細!$G$2,C2:F3), "カード選択"))), "カード選択")</f>
        <v>カード選択</v>
      </c>
      <c r="D14" s="49"/>
      <c r="E14" s="79" t="str">
        <f>IFERROR(IF(E16&lt;5, DGET(カード詳細!$A$2:$N$115,カード詳細!$I$2,C2:F3),IF(E16&lt;10, DGET(カード詳細!$A$2:$N$115,カード詳細!$K$2,C2:F3), IF(E16=10, DGET(カード詳細!A2:N115,カード詳細!$M$2,C2:F3), "カード選択"))), "カード選択")</f>
        <v>カード選択</v>
      </c>
      <c r="F14" s="80"/>
      <c r="G14" s="59"/>
      <c r="H14" s="60"/>
      <c r="I14" s="48" t="str">
        <f>IFERROR(IF(I16&lt;5, DGET(カード詳細!$A$2:$N$115,カード詳細!$C$2,I2:L3),IF(I16&lt;10, DGET(カード詳細!$A$2:$N$115,カード詳細!$E$2,I2:L3), IF(I16=10, DGET(カード詳細!G2:T115,カード詳細!$G$2,I2:L3), "カード選択"))), "カード選択")</f>
        <v>カード選択</v>
      </c>
      <c r="J14" s="49"/>
      <c r="K14" s="79" t="str">
        <f>IFERROR(IF(K16&lt;5, DGET(カード詳細!$A$2:$N$115,カード詳細!$I$2,I2:L3),IF(K16&lt;10, DGET(カード詳細!$A$2:$N$115,カード詳細!$K$2,I2:L3), IF(K16=10, DGET(カード詳細!G2:T115,カード詳細!$M$2,I2:L3), "カード選択"))), "カード選択")</f>
        <v>カード選択</v>
      </c>
      <c r="L14" s="80"/>
      <c r="M14" s="59"/>
      <c r="N14" s="60"/>
      <c r="O14" s="48" t="str">
        <f>IFERROR(IF(O16&lt;5, DGET(カード詳細!$A$2:$N$115,カード詳細!$C$2,O2:R3),IF(O16&lt;10, DGET(カード詳細!$A$2:$N$115,カード詳細!$E$2,O2:R3), IF(O16=10, DGET(カード詳細!M2:Z115,カード詳細!$G$2,O2:R3), "カード選択"))), "カード選択")</f>
        <v>カード選択</v>
      </c>
      <c r="P14" s="49"/>
      <c r="Q14" s="79" t="str">
        <f>IFERROR(IF(Q16&lt;5, DGET(カード詳細!$A$2:$N$115,カード詳細!$I$2,O2:R3),IF(Q16&lt;10, DGET(カード詳細!$A$2:$N$115,カード詳細!$K$2,O2:R3), IF(Q16=10, DGET(カード詳細!M2:Z115,カード詳細!$M$2,O2:R3), "カード選択"))), "カード選択")</f>
        <v>カード選択</v>
      </c>
      <c r="R14" s="80"/>
      <c r="S14" s="59"/>
      <c r="T14" s="60"/>
      <c r="U14" s="48" t="str">
        <f>IFERROR(IF(U16&lt;5, DGET(カード詳細!$A$2:$N$115,カード詳細!$C$2,U2:X3),IF(U16&lt;10, DGET(カード詳細!$A$2:$N$115,カード詳細!$E$2,U2:X3), IF(U16=10, DGET(カード詳細!S2:AF115,カード詳細!$G$2,U2:X3), "カード選択"))), "カード選択")</f>
        <v>カード選択</v>
      </c>
      <c r="V14" s="49"/>
      <c r="W14" s="79" t="str">
        <f>IFERROR(IF(W16&lt;5, DGET(カード詳細!$A$2:$N$115,カード詳細!$I$2,U2:X3),IF(W16&lt;10, DGET(カード詳細!$A$2:$N$115,カード詳細!$K$2,U2:X3), IF(W16=10, DGET(カード詳細!S2:AF115,カード詳細!$M$2,U2:X3), "カード選択"))), "カード選択")</f>
        <v>カード選択</v>
      </c>
      <c r="X14" s="80"/>
      <c r="Y14" s="59"/>
      <c r="Z14" s="60"/>
      <c r="AA14" s="48" t="str">
        <f>IFERROR(IF(AA16&lt;5, DGET(カード詳細!$A$2:$N$115,カード詳細!$C$2,AA2:AD3),IF(AA16&lt;10, DGET(カード詳細!$A$2:$N$115,カード詳細!$E$2,AA2:AD3), IF(AA16=10, DGET(カード詳細!Y2:AL115,カード詳細!$G$2,AA2:AD3), "カード選択"))), "カード選択")</f>
        <v>カード選択</v>
      </c>
      <c r="AB14" s="49"/>
      <c r="AC14" s="79" t="str">
        <f>IFERROR(IF(AC16&lt;5, DGET(カード詳細!$A$2:$N$115,カード詳細!$I$2,AA2:AD3),IF(AC16&lt;10, DGET(カード詳細!$A$2:$N$115,カード詳細!$K$2,AA2:AD3), IF(AC16=10, DGET(カード詳細!Y2:AL115,カード詳細!$M$2,AA2:AD3), "カード選択"))), "カード選択")</f>
        <v>カード選択</v>
      </c>
      <c r="AD14" s="80"/>
    </row>
    <row r="15" spans="2:30" ht="21" thickBot="1">
      <c r="B15" s="41" t="s">
        <v>94</v>
      </c>
      <c r="C15" s="48" t="str">
        <f>IFERROR(VLOOKUP(C$14,魔法一覧!$A$2:$E$16,2,FALSE),"カード選択")</f>
        <v>カード選択</v>
      </c>
      <c r="D15" s="49"/>
      <c r="E15" s="48" t="str">
        <f>IFERROR(VLOOKUP(E$14,魔法一覧!$A$2:$E$16,2,FALSE),"カード選択")</f>
        <v>カード選択</v>
      </c>
      <c r="F15" s="49"/>
      <c r="G15" s="59"/>
      <c r="H15" s="60"/>
      <c r="I15" s="48" t="str">
        <f>IFERROR(VLOOKUP(I$14,魔法一覧!$A$2:$E$16,2,FALSE),"カード選択")</f>
        <v>カード選択</v>
      </c>
      <c r="J15" s="49"/>
      <c r="K15" s="48" t="str">
        <f>IFERROR(VLOOKUP(K$14,魔法一覧!$A$2:$E$16,2,FALSE),"カード選択")</f>
        <v>カード選択</v>
      </c>
      <c r="L15" s="49"/>
      <c r="M15" s="59"/>
      <c r="N15" s="60"/>
      <c r="O15" s="48" t="str">
        <f>IFERROR(VLOOKUP(O$14,魔法一覧!$A$2:$E$16,2,FALSE),"カード選択")</f>
        <v>カード選択</v>
      </c>
      <c r="P15" s="49"/>
      <c r="Q15" s="48" t="str">
        <f>IFERROR(VLOOKUP(Q$14,魔法一覧!$A$2:$E$16,2,FALSE),"カード選択")</f>
        <v>カード選択</v>
      </c>
      <c r="R15" s="49"/>
      <c r="S15" s="59"/>
      <c r="T15" s="60"/>
      <c r="U15" s="48" t="str">
        <f>IFERROR(VLOOKUP(U$14,魔法一覧!$A$2:$E$16,2,FALSE),"カード選択")</f>
        <v>カード選択</v>
      </c>
      <c r="V15" s="49"/>
      <c r="W15" s="48" t="str">
        <f>IFERROR(VLOOKUP(W$14,魔法一覧!$A$2:$E$16,2,FALSE),"カード選択")</f>
        <v>カード選択</v>
      </c>
      <c r="X15" s="49"/>
      <c r="Y15" s="59"/>
      <c r="Z15" s="60"/>
      <c r="AA15" s="48" t="str">
        <f>IFERROR(VLOOKUP(AA$14,魔法一覧!$A$2:$E$16,2,FALSE),"カード選択")</f>
        <v>カード選択</v>
      </c>
      <c r="AB15" s="49"/>
      <c r="AC15" s="48" t="str">
        <f>IFERROR(VLOOKUP(AC$14,魔法一覧!$A$2:$E$16,2,FALSE),"カード選択")</f>
        <v>カード選択</v>
      </c>
      <c r="AD15" s="49"/>
    </row>
    <row r="16" spans="2:30" ht="21" thickBot="1">
      <c r="B16" s="14" t="s">
        <v>85</v>
      </c>
      <c r="C16" s="74"/>
      <c r="D16" s="75"/>
      <c r="E16" s="74"/>
      <c r="F16" s="75"/>
      <c r="G16" s="59"/>
      <c r="H16" s="60"/>
      <c r="I16" s="74"/>
      <c r="J16" s="75"/>
      <c r="K16" s="74"/>
      <c r="L16" s="75"/>
      <c r="M16" s="59"/>
      <c r="N16" s="60"/>
      <c r="O16" s="74"/>
      <c r="P16" s="75"/>
      <c r="Q16" s="74"/>
      <c r="R16" s="75"/>
      <c r="S16" s="59"/>
      <c r="T16" s="60"/>
      <c r="U16" s="74"/>
      <c r="V16" s="75"/>
      <c r="W16" s="74"/>
      <c r="X16" s="75"/>
      <c r="Y16" s="59"/>
      <c r="Z16" s="60"/>
      <c r="AA16" s="74"/>
      <c r="AB16" s="75"/>
      <c r="AC16" s="74"/>
      <c r="AD16" s="75"/>
    </row>
    <row r="17" spans="2:30" ht="21" thickBot="1">
      <c r="B17" s="14" t="s">
        <v>81</v>
      </c>
      <c r="C17" s="48" t="str">
        <f>IFERROR(VLOOKUP(C$14,魔法一覧!$A$2:$E$16,4,FALSE),"カード選択")</f>
        <v>カード選択</v>
      </c>
      <c r="D17" s="49"/>
      <c r="E17" s="48" t="str">
        <f>IFERROR(VLOOKUP(E$14,魔法一覧!$A$2:$E$16,4,FALSE),"カード選択")</f>
        <v>カード選択</v>
      </c>
      <c r="F17" s="49"/>
      <c r="G17" s="59"/>
      <c r="H17" s="60"/>
      <c r="I17" s="48" t="str">
        <f>IFERROR(VLOOKUP(I$14,魔法一覧!$A$2:$E$16,4,FALSE),"カード選択")</f>
        <v>カード選択</v>
      </c>
      <c r="J17" s="49"/>
      <c r="K17" s="48" t="str">
        <f>IFERROR(VLOOKUP(K$14,魔法一覧!$A$2:$E$16,4,FALSE),"カード選択")</f>
        <v>カード選択</v>
      </c>
      <c r="L17" s="49"/>
      <c r="M17" s="59"/>
      <c r="N17" s="60"/>
      <c r="O17" s="48" t="str">
        <f>IFERROR(VLOOKUP(O$14,魔法一覧!$A$2:$E$16,4,FALSE),"カード選択")</f>
        <v>カード選択</v>
      </c>
      <c r="P17" s="49"/>
      <c r="Q17" s="48" t="str">
        <f>IFERROR(VLOOKUP(Q$14,魔法一覧!$A$2:$E$16,4,FALSE),"カード選択")</f>
        <v>カード選択</v>
      </c>
      <c r="R17" s="49"/>
      <c r="S17" s="59"/>
      <c r="T17" s="60"/>
      <c r="U17" s="48" t="str">
        <f>IFERROR(VLOOKUP(U$14,魔法一覧!$A$2:$E$16,4,FALSE),"カード選択")</f>
        <v>カード選択</v>
      </c>
      <c r="V17" s="49"/>
      <c r="W17" s="48" t="str">
        <f>IFERROR(VLOOKUP(W$14,魔法一覧!$A$2:$E$16,4,FALSE),"カード選択")</f>
        <v>カード選択</v>
      </c>
      <c r="X17" s="49"/>
      <c r="Y17" s="59"/>
      <c r="Z17" s="60"/>
      <c r="AA17" s="48" t="str">
        <f>IFERROR(VLOOKUP(AA$14,魔法一覧!$A$2:$E$16,4,FALSE),"カード選択")</f>
        <v>カード選択</v>
      </c>
      <c r="AB17" s="49"/>
      <c r="AC17" s="48" t="str">
        <f>IFERROR(VLOOKUP(AC$14,魔法一覧!$A$2:$E$16,4,FALSE),"カード選択")</f>
        <v>カード選択</v>
      </c>
      <c r="AD17" s="49"/>
    </row>
    <row r="18" spans="2:30" ht="21" thickBot="1">
      <c r="B18" s="14" t="s">
        <v>82</v>
      </c>
      <c r="C18" s="48" t="str">
        <f>IFERROR(VLOOKUP(C$14,魔法一覧!$A$2:$E$16,5,FALSE),"カード選択")</f>
        <v>カード選択</v>
      </c>
      <c r="D18" s="49"/>
      <c r="E18" s="48" t="str">
        <f>IFERROR(VLOOKUP(E$14,魔法一覧!$A$2:$E$16,5,FALSE),"カード選択")</f>
        <v>カード選択</v>
      </c>
      <c r="F18" s="49"/>
      <c r="G18" s="59"/>
      <c r="H18" s="60"/>
      <c r="I18" s="48" t="str">
        <f>IFERROR(VLOOKUP(I$14,魔法一覧!$A$2:$E$16,5,FALSE),"カード選択")</f>
        <v>カード選択</v>
      </c>
      <c r="J18" s="49"/>
      <c r="K18" s="48" t="str">
        <f>IFERROR(VLOOKUP(K$14,魔法一覧!$A$2:$E$16,5,FALSE),"カード選択")</f>
        <v>カード選択</v>
      </c>
      <c r="L18" s="49"/>
      <c r="M18" s="59"/>
      <c r="N18" s="60"/>
      <c r="O18" s="48" t="str">
        <f>IFERROR(VLOOKUP(O$14,魔法一覧!$A$2:$E$16,5,FALSE),"カード選択")</f>
        <v>カード選択</v>
      </c>
      <c r="P18" s="49"/>
      <c r="Q18" s="48" t="str">
        <f>IFERROR(VLOOKUP(Q$14,魔法一覧!$A$2:$E$16,5,FALSE),"カード選択")</f>
        <v>カード選択</v>
      </c>
      <c r="R18" s="49"/>
      <c r="S18" s="59"/>
      <c r="T18" s="60"/>
      <c r="U18" s="48" t="str">
        <f>IFERROR(VLOOKUP(U$14,魔法一覧!$A$2:$E$16,5,FALSE),"カード選択")</f>
        <v>カード選択</v>
      </c>
      <c r="V18" s="49"/>
      <c r="W18" s="48" t="str">
        <f>IFERROR(VLOOKUP(W$14,魔法一覧!$A$2:$E$16,5,FALSE),"カード選択")</f>
        <v>カード選択</v>
      </c>
      <c r="X18" s="49"/>
      <c r="Y18" s="59"/>
      <c r="Z18" s="60"/>
      <c r="AA18" s="48" t="str">
        <f>IFERROR(VLOOKUP(AA$14,魔法一覧!$A$2:$E$16,5,FALSE),"カード選択")</f>
        <v>カード選択</v>
      </c>
      <c r="AB18" s="49"/>
      <c r="AC18" s="48" t="str">
        <f>IFERROR(VLOOKUP(AC$14,魔法一覧!$A$2:$E$16,5,FALSE),"カード選択")</f>
        <v>カード選択</v>
      </c>
      <c r="AD18" s="49"/>
    </row>
    <row r="19" spans="2:30" ht="20" customHeight="1" thickBot="1">
      <c r="B19" s="14" t="s">
        <v>95</v>
      </c>
      <c r="C19" s="57" t="s">
        <v>84</v>
      </c>
      <c r="D19" s="58"/>
      <c r="E19" s="57" t="s">
        <v>84</v>
      </c>
      <c r="F19" s="58"/>
      <c r="G19" s="59"/>
      <c r="H19" s="60"/>
      <c r="I19" s="57" t="s">
        <v>84</v>
      </c>
      <c r="J19" s="58"/>
      <c r="K19" s="57" t="s">
        <v>84</v>
      </c>
      <c r="L19" s="58"/>
      <c r="M19" s="59"/>
      <c r="N19" s="60"/>
      <c r="O19" s="57" t="s">
        <v>84</v>
      </c>
      <c r="P19" s="58"/>
      <c r="Q19" s="57" t="s">
        <v>84</v>
      </c>
      <c r="R19" s="58"/>
      <c r="S19" s="59"/>
      <c r="T19" s="60"/>
      <c r="U19" s="57" t="s">
        <v>84</v>
      </c>
      <c r="V19" s="58"/>
      <c r="W19" s="57" t="s">
        <v>84</v>
      </c>
      <c r="X19" s="58"/>
      <c r="Y19" s="59"/>
      <c r="Z19" s="60"/>
      <c r="AA19" s="57" t="s">
        <v>84</v>
      </c>
      <c r="AB19" s="58"/>
      <c r="AC19" s="57" t="s">
        <v>84</v>
      </c>
      <c r="AD19" s="58"/>
    </row>
    <row r="20" spans="2:30">
      <c r="B20" s="46" t="s">
        <v>238</v>
      </c>
      <c r="C20" s="61" t="str">
        <f>IF(COUNTIF(C28, "*ATK UP*")&gt;0, C28, "-")</f>
        <v>-</v>
      </c>
      <c r="D20" s="62"/>
      <c r="E20" s="61" t="str">
        <f>IF(COUNTIF(E28, "*ATK UP*")&gt;0, E28, "-")</f>
        <v>-</v>
      </c>
      <c r="F20" s="62"/>
      <c r="G20" s="59"/>
      <c r="H20" s="60"/>
      <c r="I20" s="61" t="str">
        <f>IF(COUNTIF(I28, "*ATK UP*")&gt;0, I28, "-")</f>
        <v>-</v>
      </c>
      <c r="J20" s="62"/>
      <c r="K20" s="61" t="str">
        <f>IF(COUNTIF(K28, "*ATK UP*")&gt;0, K28, "-")</f>
        <v>-</v>
      </c>
      <c r="L20" s="62"/>
      <c r="M20" s="59"/>
      <c r="N20" s="60"/>
      <c r="O20" s="61" t="str">
        <f>IF(COUNTIF(O28, "*ATK UP*")&gt;0, O28, "-")</f>
        <v>-</v>
      </c>
      <c r="P20" s="62"/>
      <c r="Q20" s="61" t="str">
        <f>IF(COUNTIF(Q28, "*ATK UP*")&gt;0, Q28, "-")</f>
        <v>-</v>
      </c>
      <c r="R20" s="62"/>
      <c r="S20" s="59"/>
      <c r="T20" s="60"/>
      <c r="U20" s="61" t="str">
        <f>IF(COUNTIF(U28, "*ATK UP*")&gt;0, U28, "-")</f>
        <v>-</v>
      </c>
      <c r="V20" s="62"/>
      <c r="W20" s="61" t="str">
        <f>IF(COUNTIF(W28, "*ATK UP*")&gt;0, W28, "-")</f>
        <v>-</v>
      </c>
      <c r="X20" s="62"/>
      <c r="Y20" s="59"/>
      <c r="Z20" s="60"/>
      <c r="AA20" s="61" t="str">
        <f>IF(COUNTIF(AA28, "*ATK UP*")&gt;0, AA28, "-")</f>
        <v>-</v>
      </c>
      <c r="AB20" s="62"/>
      <c r="AC20" s="61" t="str">
        <f>IF(COUNTIF(AC28, "*ATK UP*")&gt;0, AC28, "-")</f>
        <v>-</v>
      </c>
      <c r="AD20" s="62"/>
    </row>
    <row r="21" spans="2:30" ht="21" thickBot="1">
      <c r="B21" s="50"/>
      <c r="C21" s="63" t="s">
        <v>242</v>
      </c>
      <c r="D21" s="64"/>
      <c r="E21" s="63" t="s">
        <v>242</v>
      </c>
      <c r="F21" s="64"/>
      <c r="G21" s="59"/>
      <c r="H21" s="60"/>
      <c r="I21" s="63" t="s">
        <v>242</v>
      </c>
      <c r="J21" s="64"/>
      <c r="K21" s="63" t="s">
        <v>242</v>
      </c>
      <c r="L21" s="64"/>
      <c r="M21" s="59"/>
      <c r="N21" s="60"/>
      <c r="O21" s="63" t="s">
        <v>242</v>
      </c>
      <c r="P21" s="64"/>
      <c r="Q21" s="63" t="s">
        <v>242</v>
      </c>
      <c r="R21" s="64"/>
      <c r="S21" s="59"/>
      <c r="T21" s="60"/>
      <c r="U21" s="63" t="s">
        <v>242</v>
      </c>
      <c r="V21" s="64"/>
      <c r="W21" s="63" t="s">
        <v>242</v>
      </c>
      <c r="X21" s="64"/>
      <c r="Y21" s="59"/>
      <c r="Z21" s="60"/>
      <c r="AA21" s="63" t="s">
        <v>242</v>
      </c>
      <c r="AB21" s="64"/>
      <c r="AC21" s="63" t="s">
        <v>242</v>
      </c>
      <c r="AD21" s="64"/>
    </row>
    <row r="22" spans="2:30">
      <c r="B22" s="46" t="s">
        <v>239</v>
      </c>
      <c r="C22" s="61" t="str">
        <f>IF(COUNTIF(C28, "*ダメージUP*"), C28, "-")</f>
        <v>-</v>
      </c>
      <c r="D22" s="62"/>
      <c r="E22" s="61" t="str">
        <f>IF(COUNTIF(E28, "*ダメージUP*"), E28, "-")</f>
        <v>-</v>
      </c>
      <c r="F22" s="62"/>
      <c r="G22" s="59"/>
      <c r="H22" s="60"/>
      <c r="I22" s="61" t="str">
        <f>IF(COUNTIF(I28, "*ダメージUP*"), I28, "-")</f>
        <v>-</v>
      </c>
      <c r="J22" s="62"/>
      <c r="K22" s="61" t="str">
        <f>IF(COUNTIF(K28, "*ダメージUP*"), K28, "-")</f>
        <v>-</v>
      </c>
      <c r="L22" s="62"/>
      <c r="M22" s="59"/>
      <c r="N22" s="60"/>
      <c r="O22" s="61" t="str">
        <f>IF(COUNTIF(O28, "*ダメージUP*"), O28, "-")</f>
        <v>-</v>
      </c>
      <c r="P22" s="62"/>
      <c r="Q22" s="61" t="str">
        <f>IF(COUNTIF(Q28, "*ダメージUP*"), Q28, "-")</f>
        <v>-</v>
      </c>
      <c r="R22" s="62"/>
      <c r="S22" s="59"/>
      <c r="T22" s="60"/>
      <c r="U22" s="61" t="str">
        <f>IF(COUNTIF(U28, "*ダメージUP*"), U28, "-")</f>
        <v>-</v>
      </c>
      <c r="V22" s="62"/>
      <c r="W22" s="61" t="str">
        <f>IF(COUNTIF(W28, "*ダメージUP*"), W28, "-")</f>
        <v>-</v>
      </c>
      <c r="X22" s="62"/>
      <c r="Y22" s="59"/>
      <c r="Z22" s="60"/>
      <c r="AA22" s="61" t="str">
        <f>IF(COUNTIF(AA28, "*ダメージUP*"), AA28, "-")</f>
        <v>-</v>
      </c>
      <c r="AB22" s="62"/>
      <c r="AC22" s="61" t="str">
        <f>IF(COUNTIF(AC28, "*ダメージUP*"), AC28, "-")</f>
        <v>-</v>
      </c>
      <c r="AD22" s="62"/>
    </row>
    <row r="23" spans="2:30" ht="21" thickBot="1">
      <c r="B23" s="47"/>
      <c r="C23" s="63" t="s">
        <v>83</v>
      </c>
      <c r="D23" s="64"/>
      <c r="E23" s="63" t="s">
        <v>83</v>
      </c>
      <c r="F23" s="64"/>
      <c r="G23" s="59"/>
      <c r="H23" s="60"/>
      <c r="I23" s="63" t="s">
        <v>83</v>
      </c>
      <c r="J23" s="64"/>
      <c r="K23" s="63" t="s">
        <v>83</v>
      </c>
      <c r="L23" s="64"/>
      <c r="M23" s="59"/>
      <c r="N23" s="60"/>
      <c r="O23" s="63" t="s">
        <v>83</v>
      </c>
      <c r="P23" s="64"/>
      <c r="Q23" s="63" t="s">
        <v>83</v>
      </c>
      <c r="R23" s="64"/>
      <c r="S23" s="59"/>
      <c r="T23" s="60"/>
      <c r="U23" s="63" t="s">
        <v>83</v>
      </c>
      <c r="V23" s="64"/>
      <c r="W23" s="63" t="s">
        <v>83</v>
      </c>
      <c r="X23" s="64"/>
      <c r="Y23" s="59"/>
      <c r="Z23" s="60"/>
      <c r="AA23" s="63" t="s">
        <v>83</v>
      </c>
      <c r="AB23" s="64"/>
      <c r="AC23" s="63" t="s">
        <v>83</v>
      </c>
      <c r="AD23" s="64"/>
    </row>
    <row r="24" spans="2:30" ht="21" thickBot="1">
      <c r="B24" s="42"/>
      <c r="C24" s="11"/>
      <c r="D24" s="11"/>
      <c r="E24" s="11"/>
      <c r="F24" s="11"/>
      <c r="G24" s="83"/>
      <c r="H24" s="83"/>
      <c r="I24" s="11"/>
      <c r="J24" s="11"/>
      <c r="K24" s="11"/>
      <c r="L24" s="11"/>
      <c r="M24" s="83"/>
      <c r="N24" s="83"/>
      <c r="O24" s="11"/>
      <c r="P24" s="11"/>
      <c r="Q24" s="11"/>
      <c r="R24" s="11"/>
      <c r="S24" s="83"/>
      <c r="T24" s="83"/>
      <c r="U24" s="11"/>
      <c r="V24" s="11"/>
      <c r="W24" s="11"/>
      <c r="X24" s="11"/>
      <c r="Y24" s="83"/>
      <c r="Z24" s="83"/>
      <c r="AA24" s="11"/>
      <c r="AB24" s="11"/>
      <c r="AC24" s="11"/>
      <c r="AD24" s="11"/>
    </row>
    <row r="25" spans="2:30">
      <c r="B25" s="15" t="s">
        <v>78</v>
      </c>
      <c r="C25" s="51">
        <f>ROUND(C6*(1+C29+C30),0)</f>
        <v>0</v>
      </c>
      <c r="D25" s="52"/>
      <c r="E25" s="52"/>
      <c r="F25" s="53"/>
      <c r="G25" s="59"/>
      <c r="H25" s="60"/>
      <c r="I25" s="51">
        <f>ROUND(I6*(1+I29+I30),0)</f>
        <v>0</v>
      </c>
      <c r="J25" s="52"/>
      <c r="K25" s="52"/>
      <c r="L25" s="53"/>
      <c r="M25" s="59"/>
      <c r="N25" s="60"/>
      <c r="O25" s="51">
        <f>ROUND(O6*(1+O29+O30),0)</f>
        <v>0</v>
      </c>
      <c r="P25" s="52"/>
      <c r="Q25" s="52"/>
      <c r="R25" s="53"/>
      <c r="S25" s="59"/>
      <c r="T25" s="60"/>
      <c r="U25" s="51">
        <f>ROUND(U6*(1+U29+U30),0)</f>
        <v>0</v>
      </c>
      <c r="V25" s="52"/>
      <c r="W25" s="52"/>
      <c r="X25" s="53"/>
      <c r="Y25" s="59"/>
      <c r="Z25" s="60"/>
      <c r="AA25" s="51">
        <f>ROUND(AA6*(1+AA29+AA30),0)</f>
        <v>0</v>
      </c>
      <c r="AB25" s="52"/>
      <c r="AC25" s="52"/>
      <c r="AD25" s="53"/>
    </row>
    <row r="26" spans="2:30" ht="21" thickBot="1">
      <c r="B26" s="16" t="s">
        <v>88</v>
      </c>
      <c r="C26" s="54">
        <f>ROUND(C11*(1+C31+C32+C37+C38)*C34*C35*C36*(1+C39+C40),0)</f>
        <v>0</v>
      </c>
      <c r="D26" s="55"/>
      <c r="E26" s="55">
        <f>ROUND(C11*(1+E31+E32+E37+E38)*E34*E35*E36*(1+E39+E40),0)</f>
        <v>0</v>
      </c>
      <c r="F26" s="56"/>
      <c r="G26" s="59"/>
      <c r="H26" s="60"/>
      <c r="I26" s="54">
        <f>ROUND(I11*(1+I31+I32+I37+I38)*I34*I35*I36*(1+I39+I40),0)</f>
        <v>0</v>
      </c>
      <c r="J26" s="55"/>
      <c r="K26" s="55">
        <f>ROUND(I11*(1+K31+K32+K37+K38)*K34*K35*K36*(1+K39+K40),0)</f>
        <v>0</v>
      </c>
      <c r="L26" s="56"/>
      <c r="M26" s="59"/>
      <c r="N26" s="60"/>
      <c r="O26" s="54">
        <f>ROUND(O11*(1+O31+O32+O37+O38)*O34*O35*O36*(1+O39+O40),0)</f>
        <v>0</v>
      </c>
      <c r="P26" s="55"/>
      <c r="Q26" s="55">
        <f>ROUND(O11*(1+Q31+Q32+Q37+Q38)*Q34*Q35*Q36*(1+Q39+Q40),0)</f>
        <v>0</v>
      </c>
      <c r="R26" s="56"/>
      <c r="S26" s="59"/>
      <c r="T26" s="60"/>
      <c r="U26" s="54">
        <f>ROUND(U11*(1+U31+U32+U37+U38)*U34*U35*U36*(1+U39+U40),0)</f>
        <v>0</v>
      </c>
      <c r="V26" s="55"/>
      <c r="W26" s="55">
        <f>ROUND(U11*(1+W31+W32+W37+W38)*W34*W35*W36*(1+W39+W40),0)</f>
        <v>0</v>
      </c>
      <c r="X26" s="56"/>
      <c r="Y26" s="59"/>
      <c r="Z26" s="60"/>
      <c r="AA26" s="54">
        <f>ROUND(AA11*(1+AA31+AA32+AA37+AA38)*AA34*AA35*AA36*(1+AA39+AA40),0)</f>
        <v>0</v>
      </c>
      <c r="AB26" s="55"/>
      <c r="AC26" s="55">
        <f>ROUND(AA11*(1+AC31+AC32+AC37+AC38)*AC34*AC35*AC36*(1+AC39+AC40),0)</f>
        <v>0</v>
      </c>
      <c r="AD26" s="56"/>
    </row>
    <row r="27" spans="2:30" ht="21" thickBot="1">
      <c r="B27" s="6"/>
    </row>
    <row r="28" spans="2:30" ht="20" hidden="1" customHeight="1">
      <c r="B28" s="6"/>
      <c r="C28" t="str">
        <f>IFERROR(IF(C16&lt;5, DGET(カード詳細!$A$2:$N$115,カード詳細!$D$2,C2:F3), IF(C16&lt;10, DGET(カード詳細!$A$2:$N$115,カード詳細!$F$2,C2:F3), IF(C16=10, DGET(カード詳細!$A$2:$N$115,カード詳細!$H$2,C2:F3), "-"))), "-")</f>
        <v>-</v>
      </c>
      <c r="E28" t="str">
        <f>IFERROR(IF(E16&lt;5, DGET(カード詳細!$A$2:$N$115,カード詳細!$J$2,C2:F3), IF(E16&lt;10, DGET(カード詳細!$A$2:$N$115,カード詳細!$L$2,C2:F3), IF(E16=10, DGET(カード詳細!$A$2:$N$115,カード詳細!$N$2,C2:F3), "-"))), "-")</f>
        <v>-</v>
      </c>
      <c r="I28" t="str">
        <f>IFERROR(IF(I16&lt;5, DGET(カード詳細!$A$2:$N$115,カード詳細!$D$2,I2:L3), IF(I16&lt;10, DGET(カード詳細!$A$2:$N$115,カード詳細!$F$2,I2:L3), IF(I16=10, DGET(カード詳細!$A$2:$N$115,カード詳細!$H$2,I2:L3), "-"))), "-")</f>
        <v>-</v>
      </c>
      <c r="K28" t="str">
        <f>IFERROR(IF(K16&lt;5, DGET(カード詳細!$A$2:$N$115,カード詳細!$J$2,I2:L3), IF(K16&lt;10, DGET(カード詳細!$A$2:$N$115,カード詳細!$L$2,I2:L3), IF(K16=10, DGET(カード詳細!$A$2:$N$115,カード詳細!$N$2,I2:L3), "-"))), "-")</f>
        <v>-</v>
      </c>
      <c r="O28" t="str">
        <f>IFERROR(IF(O16&lt;5, DGET(カード詳細!$A$2:$N$115,カード詳細!$D$2,O2:R3), IF(O16&lt;10, DGET(カード詳細!$A$2:$N$115,カード詳細!$F$2,O2:R3), IF(O16=10, DGET(カード詳細!$A$2:$N$115,カード詳細!$H$2,O2:R3), "-"))), "-")</f>
        <v>-</v>
      </c>
      <c r="Q28" t="str">
        <f>IFERROR(IF(Q16&lt;5, DGET(カード詳細!$A$2:$N$115,カード詳細!$J$2,O2:R3), IF(Q16&lt;10, DGET(カード詳細!$A$2:$N$115,カード詳細!$L$2,O2:R3), IF(Q16=10, DGET(カード詳細!$A$2:$N$115,カード詳細!$N$2,O2:R3), "-"))), "-")</f>
        <v>-</v>
      </c>
      <c r="U28" t="str">
        <f>IFERROR(IF(U16&lt;5, DGET(カード詳細!$A$2:$N$115,カード詳細!$D$2,U2:X3), IF(U16&lt;10, DGET(カード詳細!$A$2:$N$115,カード詳細!$F$2,U2:X3), IF(U16=10, DGET(カード詳細!$A$2:$N$115,カード詳細!$H$2,U2:X3), "-"))), "-")</f>
        <v>-</v>
      </c>
      <c r="W28" t="str">
        <f>IFERROR(IF(W16&lt;5, DGET(カード詳細!$A$2:$N$115,カード詳細!$J$2,U2:X3), IF(W16&lt;10, DGET(カード詳細!$A$2:$N$115,カード詳細!$L$2,U2:X3), IF(W16=10, DGET(カード詳細!$A$2:$N$115,カード詳細!$N$2,U2:X3), "-"))), "-")</f>
        <v>-</v>
      </c>
      <c r="AA28" t="str">
        <f>IFERROR(IF(AA16&lt;5, DGET(カード詳細!$A$2:$N$115,カード詳細!$D$2,AA2:AD3), IF(AA16&lt;10, DGET(カード詳細!$A$2:$N$115,カード詳細!$F$2,AA2:AD3), IF(AA16=10, DGET(カード詳細!$A$2:$N$115,カード詳細!$H$2,AA2:AD3), "-"))), "-")</f>
        <v>-</v>
      </c>
      <c r="AC28" t="str">
        <f>IFERROR(IF(AC16&lt;5, DGET(カード詳細!$A$2:$N$115,カード詳細!$J$2,AA2:AD3), IF(AC16&lt;10, DGET(カード詳細!$A$2:$N$115,カード詳細!$L$2,AA2:AD3), IF(AC16=10, DGET(カード詳細!$A$2:$N$115,カード詳細!$N$2,AA2:AD3), "-"))), "-")</f>
        <v>-</v>
      </c>
    </row>
    <row r="29" spans="2:30" ht="20" hidden="1" customHeight="1">
      <c r="B29" s="6"/>
      <c r="C29">
        <f>IF(D7="小", (10+E7)/100, IF(D7="中", (20+E7)/100, 0))</f>
        <v>0</v>
      </c>
      <c r="I29">
        <f>IF(J7="小", (10+K7)/100, IF(J7="中", (20+K7)/100, 0))</f>
        <v>0</v>
      </c>
      <c r="O29">
        <f>IF(P7="小", (10+Q7)/100, IF(P7="中", (20+Q7)/100, 0))</f>
        <v>0</v>
      </c>
      <c r="U29">
        <f>IF(V7="小", (10+W7)/100, IF(V7="中", (20+W7)/100, 0))</f>
        <v>0</v>
      </c>
      <c r="AA29">
        <f>IF(AB7="小", (10+AC7)/100, IF(AB7="中", (20+AC7)/100, 0))</f>
        <v>0</v>
      </c>
    </row>
    <row r="30" spans="2:30" ht="20" hidden="1" customHeight="1">
      <c r="B30" s="6"/>
      <c r="C30">
        <f>IF(D8="小", (10+E8)/100, IF(D8="中", (20+E8)/100, 0))</f>
        <v>0</v>
      </c>
      <c r="I30">
        <f>IF(J8="小", (10+K8)/100, IF(J8="中", (20+K8)/100, 0))</f>
        <v>0</v>
      </c>
      <c r="O30">
        <f>IF(P8="小", (10+Q8)/100, IF(P8="中", (20+Q8)/100, 0))</f>
        <v>0</v>
      </c>
      <c r="U30">
        <f>IF(V8="小", (10+W8)/100, IF(V8="中", (20+W8)/100, 0))</f>
        <v>0</v>
      </c>
      <c r="AA30">
        <f>IF(AB8="小", (10+AC8)/100, IF(AB8="中", (20+AC8)/100, 0))</f>
        <v>0</v>
      </c>
    </row>
    <row r="31" spans="2:30" ht="20" hidden="1" customHeight="1">
      <c r="B31" s="6"/>
      <c r="C31">
        <f>IF(D12="小", (10+E12)/100, IF(D12="中", (20+E12)/100, 0))</f>
        <v>0</v>
      </c>
      <c r="E31">
        <f>IF(D12="小", (10+E12)/100, IF(D12="中", (20+E12)/100, 0))</f>
        <v>0</v>
      </c>
      <c r="I31">
        <f>IF(J12="小", (10+K12)/100, IF(J12="中", (20+K12)/100, 0))</f>
        <v>0</v>
      </c>
      <c r="K31">
        <f>IF(J12="小", (10+K12)/100, IF(J12="中", (20+K12)/100, 0))</f>
        <v>0</v>
      </c>
      <c r="O31">
        <f>IF(P12="小", (10+Q12)/100, IF(P12="中", (20+Q12)/100, 0))</f>
        <v>0</v>
      </c>
      <c r="Q31">
        <f>IF(P12="小", (10+Q12)/100, IF(P12="中", (20+Q12)/100, 0))</f>
        <v>0</v>
      </c>
      <c r="U31">
        <f>IF(V12="小", (10+W12)/100, IF(V12="中", (20+W12)/100, 0))</f>
        <v>0</v>
      </c>
      <c r="W31">
        <f>IF(V12="小", (10+W12)/100, IF(V12="中", (20+W12)/100, 0))</f>
        <v>0</v>
      </c>
      <c r="AA31">
        <f>IF(AB12="小", (10+AC12)/100, IF(AB12="中", (20+AC12)/100, 0))</f>
        <v>0</v>
      </c>
      <c r="AC31">
        <f>IF(AB12="小", (10+AC12)/100, IF(AB12="中", (20+AC12)/100, 0))</f>
        <v>0</v>
      </c>
    </row>
    <row r="32" spans="2:30" ht="20" hidden="1" customHeight="1">
      <c r="B32" s="6"/>
      <c r="C32">
        <f>IF(D13="小", (10+E13)/100, IF(D13="中", (20+E13)/100, 0))</f>
        <v>0</v>
      </c>
      <c r="E32">
        <f>IF(D13="小", (10+E13)/100, IF(D13="中", (20+E13)/100, 0))</f>
        <v>0</v>
      </c>
      <c r="I32">
        <f>IF(J13="小", (10+K13)/100, IF(J13="中", (20+K13)/100, 0))</f>
        <v>0</v>
      </c>
      <c r="K32">
        <f>IF(J13="小", (10+K13)/100, IF(J13="中", (20+K13)/100, 0))</f>
        <v>0</v>
      </c>
      <c r="O32">
        <f>IF(P13="小", (10+Q13)/100, IF(P13="中", (20+Q13)/100, 0))</f>
        <v>0</v>
      </c>
      <c r="Q32">
        <f>IF(P13="小", (10+Q13)/100, IF(P13="中", (20+Q13)/100, 0))</f>
        <v>0</v>
      </c>
      <c r="U32">
        <f>IF(V13="小", (10+W13)/100, IF(V13="中", (20+W13)/100, 0))</f>
        <v>0</v>
      </c>
      <c r="W32">
        <f>IF(V13="小", (10+W13)/100, IF(V13="中", (20+W13)/100, 0))</f>
        <v>0</v>
      </c>
      <c r="AA32">
        <f>IF(AB13="小", (10+AC13)/100, IF(AB13="中", (20+AC13)/100, 0))</f>
        <v>0</v>
      </c>
      <c r="AC32">
        <f>IF(AB13="小", (10+AC13)/100, IF(AB13="中", (20+AC13)/100, 0))</f>
        <v>0</v>
      </c>
    </row>
    <row r="33" spans="2:29" ht="20" hidden="1" customHeight="1">
      <c r="B33" s="6"/>
    </row>
    <row r="34" spans="2:29" ht="20" hidden="1" customHeight="1">
      <c r="B34" s="6"/>
      <c r="C34">
        <f>IF(C17="弱", 0.5+C16*0.025, 0.625+0.0375*C16)</f>
        <v>0.625</v>
      </c>
      <c r="E34">
        <f>IF(E17="弱", 0.5+E16*0.025, 0.625+0.0375*E16)</f>
        <v>0.625</v>
      </c>
      <c r="I34">
        <f>IF(I17="弱", 0.5+I16*0.025, 0.625+0.0375*I16)</f>
        <v>0.625</v>
      </c>
      <c r="K34">
        <f>IF(K17="弱", 0.5+K16*0.025, 0.625+0.0375*K16)</f>
        <v>0.625</v>
      </c>
      <c r="O34">
        <f>IF(O17="弱", 0.5+O16*0.025, 0.625+0.0375*O16)</f>
        <v>0.625</v>
      </c>
      <c r="Q34">
        <f>IF(Q17="弱", 0.5+Q16*0.025, 0.625+0.0375*Q16)</f>
        <v>0.625</v>
      </c>
      <c r="U34">
        <f>IF(U17="弱", 0.5+U16*0.025, 0.625+0.0375*U16)</f>
        <v>0.625</v>
      </c>
      <c r="W34">
        <f>IF(W17="弱", 0.5+W16*0.025, 0.625+0.0375*W16)</f>
        <v>0.625</v>
      </c>
      <c r="AA34">
        <f>IF(AA17="弱", 0.5+AA16*0.025, 0.625+0.0375*AA16)</f>
        <v>0.625</v>
      </c>
      <c r="AC34">
        <f>IF(AC17="弱", 0.5+AC16*0.025, 0.625+0.0375*AC16)</f>
        <v>0.625</v>
      </c>
    </row>
    <row r="35" spans="2:29" ht="20" hidden="1" customHeight="1">
      <c r="B35" s="6"/>
      <c r="C35">
        <f>IF(C19="不利", 0.5, IF(C19="同属性", 1, IF(C19="無属性", 1.1, 1.5)))</f>
        <v>1</v>
      </c>
      <c r="E35">
        <f>IF(E19="不利", 0.5, IF(E19="同属性", 1, IF(E19="無属性", 1.1, 1.5)))</f>
        <v>1</v>
      </c>
      <c r="I35">
        <f>IF(I19="不利", 0.5, IF(I19="同属性", 1, IF(I19="無属性", 1.1, 1.5)))</f>
        <v>1</v>
      </c>
      <c r="K35">
        <f>IF(K19="不利", 0.5, IF(K19="同属性", 1, IF(K19="無属性", 1.1, 1.5)))</f>
        <v>1</v>
      </c>
      <c r="O35">
        <f>IF(O19="不利", 0.5, IF(O19="同属性", 1, IF(O19="無属性", 1.1, 1.5)))</f>
        <v>1</v>
      </c>
      <c r="Q35">
        <f>IF(Q19="不利", 0.5, IF(Q19="同属性", 1, IF(Q19="無属性", 1.1, 1.5)))</f>
        <v>1</v>
      </c>
      <c r="U35">
        <f>IF(U19="不利", 0.5, IF(U19="同属性", 1, IF(U19="無属性", 1.1, 1.5)))</f>
        <v>1</v>
      </c>
      <c r="W35">
        <f>IF(W19="不利", 0.5, IF(W19="同属性", 1, IF(W19="無属性", 1.1, 1.5)))</f>
        <v>1</v>
      </c>
      <c r="AA35">
        <f>IF(AA19="不利", 0.5, IF(AA19="同属性", 1, IF(AA19="無属性", 1.1, 1.5)))</f>
        <v>1</v>
      </c>
      <c r="AC35">
        <f>IF(AC19="不利", 0.5, IF(AC19="同属性", 1, IF(AC19="無属性", 1.1, 1.5)))</f>
        <v>1</v>
      </c>
    </row>
    <row r="36" spans="2:29" ht="20" hidden="1" customHeight="1">
      <c r="B36" s="6"/>
      <c r="C36">
        <f>IF(C18=2, 0.9*2, IF(C18=3, 0.8*3, 1))</f>
        <v>1</v>
      </c>
      <c r="E36">
        <f>IF(E18=2, 0.9*2, IF(E18=3, 0.8*3, 1))</f>
        <v>1</v>
      </c>
      <c r="I36">
        <f>IF(I18=2, 0.9*2, IF(I18=3, 0.8*3, 1))</f>
        <v>1</v>
      </c>
      <c r="K36">
        <f>IF(K18=2, 0.9*2, IF(K18=3, 0.8*3, 1))</f>
        <v>1</v>
      </c>
      <c r="O36">
        <f>IF(O18=2, 0.9*2, IF(O18=3, 0.8*3, 1))</f>
        <v>1</v>
      </c>
      <c r="Q36">
        <f>IF(Q18=2, 0.9*2, IF(Q18=3, 0.8*3, 1))</f>
        <v>1</v>
      </c>
      <c r="U36">
        <f>IF(U18=2, 0.9*2, IF(U18=3, 0.8*3, 1))</f>
        <v>1</v>
      </c>
      <c r="W36">
        <f>IF(W18=2, 0.9*2, IF(W18=3, 0.8*3, 1))</f>
        <v>1</v>
      </c>
      <c r="AA36">
        <f>IF(AA18=2, 0.9*2, IF(AA18=3, 0.8*3, 1))</f>
        <v>1</v>
      </c>
      <c r="AC36">
        <f>IF(AC18=2, 0.9*2, IF(AC18=3, 0.8*3, 1))</f>
        <v>1</v>
      </c>
    </row>
    <row r="37" spans="2:29" ht="20" hidden="1" customHeight="1">
      <c r="B37" s="6"/>
      <c r="C37">
        <f>IF(COUNTIF(C20,"*ATK UP（極小）*"), 5+0.5*C$16, IF(COUNTIF(C20,"*ATK UP（小）*"), 10+C$16, IF(COUNTIF(C20,"*ATK UP（中）*"), 20+1.5*C$16, IF(COUNTIF(C20,"*ATK UP（大）*"), 50,0))))/100</f>
        <v>0</v>
      </c>
      <c r="E37">
        <f>IF(COUNTIF(E20,"*ATK UP（極小）*"), 5+0.5*E$16, IF(COUNTIF(E20,"*ATK UP（小）*"), 10+E$16, IF(COUNTIF(E20,"*ATK UP（中）*"), 20+1.5*E$16, IF(COUNTIF(E20,"*ATK UP（大）*"), 50,0))))/100</f>
        <v>0</v>
      </c>
      <c r="I37">
        <f>IF(COUNTIF(I20,"*ATK UP（極小）*"), 5+0.5*I$16, IF(COUNTIF(I20,"*ATK UP（小）*"), 10+I$16, IF(COUNTIF(I20,"*ATK UP（中）*"), 20+1.5*I$16, IF(COUNTIF(I20,"*ATK UP（大）*"), 50,0))))/100</f>
        <v>0</v>
      </c>
      <c r="K37">
        <f>IF(COUNTIF(K20,"*ATK UP（極小）*"), 5+0.5*K$16, IF(COUNTIF(K20,"*ATK UP（小）*"), 10+K$16, IF(COUNTIF(K20,"*ATK UP（中）*"), 20+1.5*K$16, IF(COUNTIF(K20,"*ATK UP（大）*"), 50,0))))/100</f>
        <v>0</v>
      </c>
      <c r="O37">
        <f>IF(COUNTIF(O20,"*ATK UP（極小）*"), 5+0.5*O$16, IF(COUNTIF(O20,"*ATK UP（小）*"), 10+O$16, IF(COUNTIF(O20,"*ATK UP（中）*"), 20+1.5*O$16, IF(COUNTIF(O20,"*ATK UP（大）*"), 50,0))))/100</f>
        <v>0</v>
      </c>
      <c r="Q37">
        <f>IF(COUNTIF(Q20,"*ATK UP（極小）*"), 5+0.5*Q$16, IF(COUNTIF(Q20,"*ATK UP（小）*"), 10+Q$16, IF(COUNTIF(Q20,"*ATK UP（中）*"), 20+1.5*Q$16, IF(COUNTIF(Q20,"*ATK UP（大）*"), 50,0))))/100</f>
        <v>0</v>
      </c>
      <c r="U37">
        <f>IF(COUNTIF(U20,"*ATK UP（極小）*"), 5+0.5*U$16, IF(COUNTIF(U20,"*ATK UP（小）*"), 10+U$16, IF(COUNTIF(U20,"*ATK UP（中）*"), 20+1.5*U$16, IF(COUNTIF(U20,"*ATK UP（大）*"), 50,0))))/100</f>
        <v>0</v>
      </c>
      <c r="W37">
        <f>IF(COUNTIF(W20,"*ATK UP（極小）*"), 5+0.5*W$16, IF(COUNTIF(W20,"*ATK UP（小）*"), 10+W$16, IF(COUNTIF(W20,"*ATK UP（中）*"), 20+1.5*W$16, IF(COUNTIF(W20,"*ATK UP（大）*"), 50,0))))/100</f>
        <v>0</v>
      </c>
      <c r="AA37">
        <f>IF(COUNTIF(AA20,"*ATK UP（極小）*"), 5+0.5*AA$16, IF(COUNTIF(AA20,"*ATK UP（小）*"), 10+AA$16, IF(COUNTIF(AA20,"*ATK UP（中）*"), 20+1.5*AA$16, IF(COUNTIF(AA20,"*ATK UP（大）*"), 50,0))))/100</f>
        <v>0</v>
      </c>
      <c r="AC37">
        <f>IF(COUNTIF(AC20,"*ATK UP（極小）*"), 5+0.5*AC$16, IF(COUNTIF(AC20,"*ATK UP（小）*"), 10+AC$16, IF(COUNTIF(AC20,"*ATK UP（中）*"), 20+1.5*AC$16, IF(COUNTIF(AC20,"*ATK UP（大）*"), 50,0))))/100</f>
        <v>0</v>
      </c>
    </row>
    <row r="38" spans="2:29" ht="20" hidden="1" customHeight="1">
      <c r="B38" s="6"/>
      <c r="C38">
        <f>IF(COUNTIF(C21,"*ATK UP（極小）*"), 5+0.5*C$16, IF(COUNTIF(C21,"*ATK UP（小）*"), 10+C$16, IF(COUNTIF(C21,"*ATK UP（中）*"), 20+1.5*C$16, IF(COUNTIF(C21,"*ATK UP（大）*"), 50,0))))/100</f>
        <v>0</v>
      </c>
      <c r="E38">
        <f>IF(COUNTIF(E21,"*ATK UP（極小）*"), 5+0.5*E$16, IF(COUNTIF(E21,"*ATK UP（小）*"), 10+E$16, IF(COUNTIF(E21,"*ATK UP（中）*"), 20+1.5*E$16, IF(COUNTIF(E21,"*ATK UP（大）*"), 50,0))))/100</f>
        <v>0</v>
      </c>
      <c r="I38">
        <f>IF(COUNTIF(I21,"*ATK UP（極小）*"), 5+0.5*I$16, IF(COUNTIF(I21,"*ATK UP（小）*"), 10+I$16, IF(COUNTIF(I21,"*ATK UP（中）*"), 20+1.5*I$16, IF(COUNTIF(I21,"*ATK UP（大）*"), 50,0))))/100</f>
        <v>0</v>
      </c>
      <c r="K38">
        <f>IF(COUNTIF(K21,"*ATK UP（極小）*"), 5+0.5*K$16, IF(COUNTIF(K21,"*ATK UP（小）*"), 10+K$16, IF(COUNTIF(K21,"*ATK UP（中）*"), 20+1.5*K$16, IF(COUNTIF(K21,"*ATK UP（大）*"), 50,0))))/100</f>
        <v>0</v>
      </c>
      <c r="O38">
        <f>IF(COUNTIF(O21,"*ATK UP（極小）*"), 5+0.5*O$16, IF(COUNTIF(O21,"*ATK UP（小）*"), 10+O$16, IF(COUNTIF(O21,"*ATK UP（中）*"), 20+1.5*O$16, IF(COUNTIF(O21,"*ATK UP（大）*"), 50,0))))/100</f>
        <v>0</v>
      </c>
      <c r="Q38">
        <f>IF(COUNTIF(Q21,"*ATK UP（極小）*"), 5+0.5*Q$16, IF(COUNTIF(Q21,"*ATK UP（小）*"), 10+Q$16, IF(COUNTIF(Q21,"*ATK UP（中）*"), 20+1.5*Q$16, IF(COUNTIF(Q21,"*ATK UP（大）*"), 50,0))))/100</f>
        <v>0</v>
      </c>
      <c r="U38">
        <f>IF(COUNTIF(U21,"*ATK UP（極小）*"), 5+0.5*U$16, IF(COUNTIF(U21,"*ATK UP（小）*"), 10+U$16, IF(COUNTIF(U21,"*ATK UP（中）*"), 20+1.5*U$16, IF(COUNTIF(U21,"*ATK UP（大）*"), 50,0))))/100</f>
        <v>0</v>
      </c>
      <c r="W38">
        <f>IF(COUNTIF(W21,"*ATK UP（極小）*"), 5+0.5*W$16, IF(COUNTIF(W21,"*ATK UP（小）*"), 10+W$16, IF(COUNTIF(W21,"*ATK UP（中）*"), 20+1.5*W$16, IF(COUNTIF(W21,"*ATK UP（大）*"), 50,0))))/100</f>
        <v>0</v>
      </c>
      <c r="AA38">
        <f>IF(COUNTIF(AA21,"*ATK UP（極小）*"), 5+0.5*AA$16, IF(COUNTIF(AA21,"*ATK UP（小）*"), 10+AA$16, IF(COUNTIF(AA21,"*ATK UP（中）*"), 20+1.5*AA$16, IF(COUNTIF(AA21,"*ATK UP（大）*"), 50,0))))/100</f>
        <v>0</v>
      </c>
      <c r="AC38">
        <f>IF(COUNTIF(AC21,"*ATK UP（極小）*"), 5+0.5*AC$16, IF(COUNTIF(AC21,"*ATK UP（小）*"), 10+AC$16, IF(COUNTIF(AC21,"*ATK UP（中）*"), 20+1.5*AC$16, IF(COUNTIF(AC21,"*ATK UP（大）*"), 50,0))))/100</f>
        <v>0</v>
      </c>
    </row>
    <row r="39" spans="2:29" ht="20" hidden="1" customHeight="1">
      <c r="B39" s="6"/>
      <c r="C39">
        <f>IF(COUNTIF(C22, "*ダメージUP（小）*"), C$16, IF(COUNTIF(C22,"*ダメージUP（中）*"), 10+C$16,0))/100</f>
        <v>0</v>
      </c>
      <c r="E39">
        <f>IF(COUNTIF(E22, "*ダメージUP（小）*"), E$16, IF(COUNTIF(E22,"*ダメージUP（中）*"), 10+E$16,0))/100</f>
        <v>0</v>
      </c>
      <c r="I39">
        <f>IF(COUNTIF(I22, "*ダメージUP（小）*"), I$16, IF(COUNTIF(I22,"*ダメージUP（中）*"), 10+I$16,0))/100</f>
        <v>0</v>
      </c>
      <c r="K39">
        <f>IF(COUNTIF(K22, "*ダメージUP（小）*"), K$16, IF(COUNTIF(K22,"*ダメージUP（中）*"), 10+K$16,0))/100</f>
        <v>0</v>
      </c>
      <c r="O39">
        <f>IF(COUNTIF(O22, "*ダメージUP（小）*"), O$16, IF(COUNTIF(O22,"*ダメージUP（中）*"), 10+O$16,0))/100</f>
        <v>0</v>
      </c>
      <c r="Q39">
        <f>IF(COUNTIF(Q22, "*ダメージUP（小）*"), Q$16, IF(COUNTIF(Q22,"*ダメージUP（中）*"), 10+Q$16,0))/100</f>
        <v>0</v>
      </c>
      <c r="U39">
        <f>IF(COUNTIF(U22, "*ダメージUP（小）*"), U$16, IF(COUNTIF(U22,"*ダメージUP（中）*"), 10+U$16,0))/100</f>
        <v>0</v>
      </c>
      <c r="W39">
        <f>IF(COUNTIF(W22, "*ダメージUP（小）*"), W$16, IF(COUNTIF(W22,"*ダメージUP（中）*"), 10+W$16,0))/100</f>
        <v>0</v>
      </c>
      <c r="AA39">
        <f>IF(COUNTIF(AA22, "*ダメージUP（小）*"), AA$16, IF(COUNTIF(AA22,"*ダメージUP（中）*"), 10+AA$16,0))/100</f>
        <v>0</v>
      </c>
      <c r="AC39">
        <f>IF(COUNTIF(AC22, "*ダメージUP（小）*"), AC$16, IF(COUNTIF(AC22,"*ダメージUP（中）*"), 10+AC$16,0))/100</f>
        <v>0</v>
      </c>
    </row>
    <row r="40" spans="2:29" ht="21" hidden="1" customHeight="1" thickBot="1">
      <c r="B40" s="6"/>
      <c r="C40">
        <f>IF(COUNTIF(C23, "*ダメージUP（小）*"), C$16, IF(COUNTIF(C23,"*ダメージUP（中）*"), 10+C$16,0))/100</f>
        <v>0</v>
      </c>
      <c r="E40">
        <f>IF(COUNTIF(E23, "*ダメージUP（小）*"), E$16, IF(COUNTIF(E23,"*ダメージUP（中）*"), 10+E$16,0))/100</f>
        <v>0</v>
      </c>
      <c r="I40">
        <f>IF(COUNTIF(I23, "*ダメージUP（小）*"), I$16, IF(COUNTIF(I23,"*ダメージUP（中）*"), 10+I$16,0))/100</f>
        <v>0</v>
      </c>
      <c r="K40">
        <f>IF(COUNTIF(K23, "*ダメージUP（小）*"), K$16, IF(COUNTIF(K23,"*ダメージUP（中）*"), 10+K$16,0))/100</f>
        <v>0</v>
      </c>
      <c r="O40">
        <f>IF(COUNTIF(O23, "*ダメージUP（小）*"), O$16, IF(COUNTIF(O23,"*ダメージUP（中）*"), 10+O$16,0))/100</f>
        <v>0</v>
      </c>
      <c r="Q40">
        <f>IF(COUNTIF(Q23, "*ダメージUP（小）*"), Q$16, IF(COUNTIF(Q23,"*ダメージUP（中）*"), 10+Q$16,0))/100</f>
        <v>0</v>
      </c>
      <c r="U40">
        <f>IF(COUNTIF(U23, "*ダメージUP（小）*"), U$16, IF(COUNTIF(U23,"*ダメージUP（中）*"), 10+U$16,0))/100</f>
        <v>0</v>
      </c>
      <c r="W40">
        <f>IF(COUNTIF(W23, "*ダメージUP（小）*"), W$16, IF(COUNTIF(W23,"*ダメージUP（中）*"), 10+W$16,0))/100</f>
        <v>0</v>
      </c>
      <c r="AA40">
        <f>IF(COUNTIF(AA23, "*ダメージUP（小）*"), AA$16, IF(COUNTIF(AA23,"*ダメージUP（中）*"), 10+AA$16,0))/100</f>
        <v>0</v>
      </c>
      <c r="AC40">
        <f>IF(COUNTIF(AC23, "*ダメージUP（小）*"), AC$16, IF(COUNTIF(AC23,"*ダメージUP（中）*"), 10+AC$16,0))/100</f>
        <v>0</v>
      </c>
    </row>
    <row r="41" spans="2:29">
      <c r="B41" s="44" t="s">
        <v>92</v>
      </c>
      <c r="C41" s="17">
        <f>SUM(C25:AD25)</f>
        <v>0</v>
      </c>
    </row>
    <row r="42" spans="2:29" ht="21" thickBot="1">
      <c r="B42" s="45" t="s">
        <v>93</v>
      </c>
      <c r="C42" s="18">
        <f>SUM(C26:AD26)</f>
        <v>0</v>
      </c>
    </row>
  </sheetData>
  <mergeCells count="279">
    <mergeCell ref="B22:B23"/>
    <mergeCell ref="E22:F22"/>
    <mergeCell ref="I22:J22"/>
    <mergeCell ref="K22:L22"/>
    <mergeCell ref="O22:P22"/>
    <mergeCell ref="Q22:R22"/>
    <mergeCell ref="U22:V22"/>
    <mergeCell ref="W22:X22"/>
    <mergeCell ref="AA22:AB22"/>
    <mergeCell ref="E23:F23"/>
    <mergeCell ref="I23:J23"/>
    <mergeCell ref="K23:L23"/>
    <mergeCell ref="O23:P23"/>
    <mergeCell ref="Q23:R23"/>
    <mergeCell ref="U23:V23"/>
    <mergeCell ref="W23:X23"/>
    <mergeCell ref="AA23:AB23"/>
    <mergeCell ref="M22:N22"/>
    <mergeCell ref="S22:T22"/>
    <mergeCell ref="G23:H23"/>
    <mergeCell ref="M23:N23"/>
    <mergeCell ref="S23:T23"/>
    <mergeCell ref="Y23:Z23"/>
    <mergeCell ref="M26:N26"/>
    <mergeCell ref="S26:T26"/>
    <mergeCell ref="Y26:Z26"/>
    <mergeCell ref="G24:H24"/>
    <mergeCell ref="M24:N24"/>
    <mergeCell ref="S24:T24"/>
    <mergeCell ref="Y24:Z24"/>
    <mergeCell ref="G25:H25"/>
    <mergeCell ref="M25:N25"/>
    <mergeCell ref="S25:T25"/>
    <mergeCell ref="Y25:Z25"/>
    <mergeCell ref="K26:L26"/>
    <mergeCell ref="M20:N20"/>
    <mergeCell ref="S20:T20"/>
    <mergeCell ref="Y20:Z20"/>
    <mergeCell ref="G21:H21"/>
    <mergeCell ref="M21:N21"/>
    <mergeCell ref="S21:T21"/>
    <mergeCell ref="Y21:Z21"/>
    <mergeCell ref="I20:J20"/>
    <mergeCell ref="K20:L20"/>
    <mergeCell ref="O20:P20"/>
    <mergeCell ref="Q20:R20"/>
    <mergeCell ref="U20:V20"/>
    <mergeCell ref="W20:X20"/>
    <mergeCell ref="I21:J21"/>
    <mergeCell ref="K21:L21"/>
    <mergeCell ref="W21:X21"/>
    <mergeCell ref="M18:N18"/>
    <mergeCell ref="S18:T18"/>
    <mergeCell ref="Y18:Z18"/>
    <mergeCell ref="G15:H15"/>
    <mergeCell ref="M15:N15"/>
    <mergeCell ref="S15:T15"/>
    <mergeCell ref="Y15:Z15"/>
    <mergeCell ref="G16:H16"/>
    <mergeCell ref="M16:N16"/>
    <mergeCell ref="S16:T16"/>
    <mergeCell ref="Y16:Z16"/>
    <mergeCell ref="I16:J16"/>
    <mergeCell ref="K16:L16"/>
    <mergeCell ref="I18:J18"/>
    <mergeCell ref="K18:L18"/>
    <mergeCell ref="M12:N12"/>
    <mergeCell ref="S12:T12"/>
    <mergeCell ref="Y12:Z12"/>
    <mergeCell ref="G13:H13"/>
    <mergeCell ref="W13:X13"/>
    <mergeCell ref="Q13:R13"/>
    <mergeCell ref="M17:N17"/>
    <mergeCell ref="S17:T17"/>
    <mergeCell ref="Y17:Z17"/>
    <mergeCell ref="K14:L14"/>
    <mergeCell ref="K13:L13"/>
    <mergeCell ref="M13:N13"/>
    <mergeCell ref="S13:T13"/>
    <mergeCell ref="Y13:Z13"/>
    <mergeCell ref="G14:H14"/>
    <mergeCell ref="M14:N14"/>
    <mergeCell ref="S14:T14"/>
    <mergeCell ref="Y14:Z14"/>
    <mergeCell ref="M10:N10"/>
    <mergeCell ref="S10:T10"/>
    <mergeCell ref="Q7:R7"/>
    <mergeCell ref="M6:N6"/>
    <mergeCell ref="G8:H8"/>
    <mergeCell ref="M8:N8"/>
    <mergeCell ref="S8:T8"/>
    <mergeCell ref="Y8:Z8"/>
    <mergeCell ref="G9:H9"/>
    <mergeCell ref="M9:N9"/>
    <mergeCell ref="S9:T9"/>
    <mergeCell ref="Y9:Z9"/>
    <mergeCell ref="S6:T6"/>
    <mergeCell ref="Y6:Z6"/>
    <mergeCell ref="G7:H7"/>
    <mergeCell ref="M7:N7"/>
    <mergeCell ref="S7:T7"/>
    <mergeCell ref="Y7:Z7"/>
    <mergeCell ref="Q8:R8"/>
    <mergeCell ref="AA25:AD25"/>
    <mergeCell ref="O26:P26"/>
    <mergeCell ref="Q26:R26"/>
    <mergeCell ref="AA26:AB26"/>
    <mergeCell ref="AC26:AD26"/>
    <mergeCell ref="U26:V26"/>
    <mergeCell ref="W26:X26"/>
    <mergeCell ref="AA20:AB20"/>
    <mergeCell ref="AC20:AD20"/>
    <mergeCell ref="O21:P21"/>
    <mergeCell ref="Q21:R21"/>
    <mergeCell ref="U21:V21"/>
    <mergeCell ref="O25:R25"/>
    <mergeCell ref="U25:X25"/>
    <mergeCell ref="Y22:Z22"/>
    <mergeCell ref="AA21:AB21"/>
    <mergeCell ref="AC21:AD21"/>
    <mergeCell ref="AC22:AD22"/>
    <mergeCell ref="AC23:AD23"/>
    <mergeCell ref="AC17:AD17"/>
    <mergeCell ref="O18:P18"/>
    <mergeCell ref="Q18:R18"/>
    <mergeCell ref="AA18:AB18"/>
    <mergeCell ref="AC18:AD18"/>
    <mergeCell ref="O19:P19"/>
    <mergeCell ref="Q19:R19"/>
    <mergeCell ref="AA19:AB19"/>
    <mergeCell ref="AC19:AD19"/>
    <mergeCell ref="S19:T19"/>
    <mergeCell ref="W19:X19"/>
    <mergeCell ref="W17:X17"/>
    <mergeCell ref="W18:X18"/>
    <mergeCell ref="AA17:AB17"/>
    <mergeCell ref="U18:V18"/>
    <mergeCell ref="U19:V19"/>
    <mergeCell ref="U17:V17"/>
    <mergeCell ref="O17:P17"/>
    <mergeCell ref="Q17:R17"/>
    <mergeCell ref="Y19:Z19"/>
    <mergeCell ref="AC14:AD14"/>
    <mergeCell ref="O15:P15"/>
    <mergeCell ref="Q15:R15"/>
    <mergeCell ref="AA15:AB15"/>
    <mergeCell ref="AC15:AD15"/>
    <mergeCell ref="O16:P16"/>
    <mergeCell ref="Q16:R16"/>
    <mergeCell ref="AA16:AB16"/>
    <mergeCell ref="AC16:AD16"/>
    <mergeCell ref="W15:X15"/>
    <mergeCell ref="W16:X16"/>
    <mergeCell ref="U16:V16"/>
    <mergeCell ref="W14:X14"/>
    <mergeCell ref="O14:P14"/>
    <mergeCell ref="Q14:R14"/>
    <mergeCell ref="AA14:AB14"/>
    <mergeCell ref="AC8:AD8"/>
    <mergeCell ref="AA10:AD10"/>
    <mergeCell ref="U11:X11"/>
    <mergeCell ref="AA11:AD11"/>
    <mergeCell ref="W7:X7"/>
    <mergeCell ref="W8:X8"/>
    <mergeCell ref="Q12:R12"/>
    <mergeCell ref="O10:R10"/>
    <mergeCell ref="O11:R11"/>
    <mergeCell ref="W12:X12"/>
    <mergeCell ref="U10:X10"/>
    <mergeCell ref="AC12:AD12"/>
    <mergeCell ref="Y10:Z10"/>
    <mergeCell ref="S11:T11"/>
    <mergeCell ref="Y11:Z11"/>
    <mergeCell ref="AC2:AD2"/>
    <mergeCell ref="O3:P3"/>
    <mergeCell ref="Q3:R3"/>
    <mergeCell ref="AA3:AB3"/>
    <mergeCell ref="AC3:AD3"/>
    <mergeCell ref="O5:R5"/>
    <mergeCell ref="U5:X5"/>
    <mergeCell ref="AA5:AD5"/>
    <mergeCell ref="Y2:Z2"/>
    <mergeCell ref="Y3:Z3"/>
    <mergeCell ref="O2:P2"/>
    <mergeCell ref="Q2:R2"/>
    <mergeCell ref="AA2:AB2"/>
    <mergeCell ref="S4:T4"/>
    <mergeCell ref="Y4:Z4"/>
    <mergeCell ref="S5:T5"/>
    <mergeCell ref="Y5:Z5"/>
    <mergeCell ref="M19:N19"/>
    <mergeCell ref="AC13:AD13"/>
    <mergeCell ref="AC7:AD7"/>
    <mergeCell ref="E3:F3"/>
    <mergeCell ref="E2:F2"/>
    <mergeCell ref="E15:F15"/>
    <mergeCell ref="C2:D2"/>
    <mergeCell ref="C3:D3"/>
    <mergeCell ref="I6:L6"/>
    <mergeCell ref="I14:J14"/>
    <mergeCell ref="AA6:AD6"/>
    <mergeCell ref="W2:X2"/>
    <mergeCell ref="W3:X3"/>
    <mergeCell ref="I15:J15"/>
    <mergeCell ref="K15:L15"/>
    <mergeCell ref="U15:V15"/>
    <mergeCell ref="U2:V2"/>
    <mergeCell ref="U3:V3"/>
    <mergeCell ref="M2:N2"/>
    <mergeCell ref="M3:N3"/>
    <mergeCell ref="I3:J3"/>
    <mergeCell ref="S2:T2"/>
    <mergeCell ref="S3:T3"/>
    <mergeCell ref="I2:J2"/>
    <mergeCell ref="K3:L3"/>
    <mergeCell ref="U14:V14"/>
    <mergeCell ref="G2:H2"/>
    <mergeCell ref="G3:H3"/>
    <mergeCell ref="I17:J17"/>
    <mergeCell ref="K17:L17"/>
    <mergeCell ref="G17:H17"/>
    <mergeCell ref="I10:L10"/>
    <mergeCell ref="K12:L12"/>
    <mergeCell ref="G10:H10"/>
    <mergeCell ref="I5:L5"/>
    <mergeCell ref="K7:L7"/>
    <mergeCell ref="G4:H4"/>
    <mergeCell ref="G6:H6"/>
    <mergeCell ref="K8:L8"/>
    <mergeCell ref="I11:L11"/>
    <mergeCell ref="M4:N4"/>
    <mergeCell ref="G5:H5"/>
    <mergeCell ref="M5:N5"/>
    <mergeCell ref="O6:R6"/>
    <mergeCell ref="U6:X6"/>
    <mergeCell ref="K2:L2"/>
    <mergeCell ref="G11:H11"/>
    <mergeCell ref="M11:N11"/>
    <mergeCell ref="C5:F5"/>
    <mergeCell ref="C6:F6"/>
    <mergeCell ref="E7:F7"/>
    <mergeCell ref="E8:F8"/>
    <mergeCell ref="C10:F10"/>
    <mergeCell ref="C18:D18"/>
    <mergeCell ref="C19:D19"/>
    <mergeCell ref="E16:F16"/>
    <mergeCell ref="E17:F17"/>
    <mergeCell ref="E18:F18"/>
    <mergeCell ref="E19:F19"/>
    <mergeCell ref="C16:D16"/>
    <mergeCell ref="C17:D17"/>
    <mergeCell ref="C11:F11"/>
    <mergeCell ref="E12:F12"/>
    <mergeCell ref="E14:F14"/>
    <mergeCell ref="E13:F13"/>
    <mergeCell ref="B7:B8"/>
    <mergeCell ref="B12:B13"/>
    <mergeCell ref="C14:D14"/>
    <mergeCell ref="C15:D15"/>
    <mergeCell ref="B20:B21"/>
    <mergeCell ref="C25:F25"/>
    <mergeCell ref="C26:D26"/>
    <mergeCell ref="E26:F26"/>
    <mergeCell ref="I26:J26"/>
    <mergeCell ref="I19:J19"/>
    <mergeCell ref="I25:L25"/>
    <mergeCell ref="G22:H22"/>
    <mergeCell ref="G26:H26"/>
    <mergeCell ref="C20:D20"/>
    <mergeCell ref="C21:D21"/>
    <mergeCell ref="C22:D22"/>
    <mergeCell ref="C23:D23"/>
    <mergeCell ref="E20:F20"/>
    <mergeCell ref="E21:F21"/>
    <mergeCell ref="G19:H19"/>
    <mergeCell ref="G12:H12"/>
    <mergeCell ref="G18:H18"/>
    <mergeCell ref="G20:H20"/>
    <mergeCell ref="K19:L19"/>
  </mergeCells>
  <phoneticPr fontId="1"/>
  <dataValidations count="4">
    <dataValidation type="list" allowBlank="1" showInputMessage="1" showErrorMessage="1" sqref="I19:L19 O19:R19 C19:F19 U19:X19 AA19:AD19" xr:uid="{7A5C6842-EDD4-CA44-AACB-7AB4F021B319}">
      <formula1>"無属性,不利, 同属性, 有利"</formula1>
    </dataValidation>
    <dataValidation type="list" allowBlank="1" showInputMessage="1" showErrorMessage="1" sqref="D7:D8 P7:P8 V7:V8 J7:J8 AB7:AB8 D12:D13 J12:J13 P12:P13 V12:V13 AB12:AB13" xr:uid="{2BC30EE4-05F2-1644-BB4E-B9A1FCA0A1DC}">
      <formula1>"-, 小, 中"</formula1>
    </dataValidation>
    <dataValidation type="list" errorStyle="information" allowBlank="1" showInputMessage="1" errorTitle="バフ名称は正しく記入してください。" error="名称が正しくない場合正確に計算されないことがあります。プルダウンにある書き方を参考にしてください。" sqref="C22:F23 I22:L23 O22:R23 U22:X23 AA22:AD23" xr:uid="{9439963C-719B-0744-AC3D-3E08E361F07D}">
      <formula1>"-, ダメージUP（極小）, ダメージUP（小）, ダメージUP（中）, ダメージUP（大）"</formula1>
    </dataValidation>
    <dataValidation type="list" errorStyle="information" allowBlank="1" showInputMessage="1" errorTitle="バフ名称は正しく記入してください。" error="名称が正しくない場合正確に計算されないことがあります。プルダウンにある書き方を参考にしてください。" sqref="C20:F21 I20:L21 O20:R21 U20:X21 AA20:AD21" xr:uid="{8F514EAE-C5BB-D943-A9A3-94B813340199}">
      <formula1>"-, ATK UP（極小）, ATK UP（小）, ATK UP（中）, ATK UP（大）"</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78E63742-CA7B-8344-9753-54F320896EB2}">
          <x14:formula1>
            <xm:f>キャラ・カード名一覧!$B$3:$B$25</xm:f>
          </x14:formula1>
          <xm:sqref>C3:D3 I3:J3 O3:P3 U3:V3 AA3:AB3</xm:sqref>
        </x14:dataValidation>
        <x14:dataValidation type="list" allowBlank="1" showInputMessage="1" showErrorMessage="1" xr:uid="{28F4B91C-94F2-E143-9F71-47D81EA74072}">
          <x14:formula1>
            <xm:f>キャラ・カード名一覧!$C$3:$C$12</xm:f>
          </x14:formula1>
          <xm:sqref>E3:F3 K3:L3 Q3:R3 W3:X3 AC3:AD3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8F082A-0653-7945-825A-75F2D64A29A7}">
  <sheetPr codeName="Sheet1"/>
  <dimension ref="A1:AF114"/>
  <sheetViews>
    <sheetView zoomScale="75" zoomScaleNormal="25" workbookViewId="0">
      <pane ySplit="1" topLeftCell="A31" activePane="bottomLeft" state="frozen"/>
      <selection pane="bottomLeft" activeCell="K47" sqref="K47"/>
    </sheetView>
  </sheetViews>
  <sheetFormatPr baseColWidth="10" defaultRowHeight="20"/>
  <cols>
    <col min="1" max="1" width="4.140625" customWidth="1"/>
    <col min="3" max="4" width="10.7109375" customWidth="1"/>
    <col min="5" max="5" width="8" customWidth="1"/>
    <col min="6" max="6" width="7.28515625" customWidth="1"/>
    <col min="7" max="8" width="8.140625" customWidth="1"/>
    <col min="9" max="13" width="13.28515625" customWidth="1"/>
  </cols>
  <sheetData>
    <row r="1" spans="1:13">
      <c r="A1" t="s">
        <v>5</v>
      </c>
      <c r="B1" t="s">
        <v>0</v>
      </c>
      <c r="C1" t="s">
        <v>8</v>
      </c>
      <c r="D1" t="s">
        <v>1</v>
      </c>
      <c r="E1" t="s">
        <v>2</v>
      </c>
      <c r="F1" t="s">
        <v>73</v>
      </c>
      <c r="G1" s="5" t="s">
        <v>3</v>
      </c>
      <c r="H1" t="s">
        <v>4</v>
      </c>
      <c r="I1" t="s">
        <v>104</v>
      </c>
      <c r="J1" t="s">
        <v>105</v>
      </c>
      <c r="K1" t="s">
        <v>125</v>
      </c>
      <c r="L1" t="s">
        <v>126</v>
      </c>
      <c r="M1" t="s">
        <v>106</v>
      </c>
    </row>
    <row r="2" spans="1:13">
      <c r="A2">
        <v>1</v>
      </c>
      <c r="B2" t="s">
        <v>6</v>
      </c>
      <c r="C2" t="s">
        <v>9</v>
      </c>
      <c r="D2" t="s">
        <v>7</v>
      </c>
      <c r="E2" t="s">
        <v>38</v>
      </c>
      <c r="F2" t="s">
        <v>72</v>
      </c>
      <c r="G2" s="2" t="s">
        <v>202</v>
      </c>
      <c r="H2" s="3" t="s">
        <v>200</v>
      </c>
      <c r="M2" t="s">
        <v>11</v>
      </c>
    </row>
    <row r="3" spans="1:13">
      <c r="A3">
        <v>2</v>
      </c>
      <c r="B3" t="s">
        <v>6</v>
      </c>
      <c r="C3" t="s">
        <v>19</v>
      </c>
      <c r="D3" t="s">
        <v>7</v>
      </c>
      <c r="E3" t="s">
        <v>39</v>
      </c>
      <c r="F3" t="s">
        <v>38</v>
      </c>
      <c r="G3" s="3" t="s">
        <v>200</v>
      </c>
      <c r="H3" s="1" t="s">
        <v>201</v>
      </c>
      <c r="J3" t="s">
        <v>21</v>
      </c>
    </row>
    <row r="4" spans="1:13">
      <c r="A4">
        <v>3</v>
      </c>
      <c r="B4" t="s">
        <v>6</v>
      </c>
      <c r="C4" t="s">
        <v>25</v>
      </c>
      <c r="D4" t="s">
        <v>26</v>
      </c>
      <c r="E4" t="s">
        <v>40</v>
      </c>
      <c r="F4" t="s">
        <v>38</v>
      </c>
      <c r="G4" s="1" t="s">
        <v>201</v>
      </c>
      <c r="H4" s="3" t="s">
        <v>200</v>
      </c>
      <c r="I4" t="s">
        <v>21</v>
      </c>
      <c r="M4" t="s">
        <v>28</v>
      </c>
    </row>
    <row r="5" spans="1:13">
      <c r="A5">
        <v>4</v>
      </c>
      <c r="B5" t="s">
        <v>6</v>
      </c>
      <c r="C5" t="s">
        <v>29</v>
      </c>
      <c r="D5" t="s">
        <v>26</v>
      </c>
      <c r="E5" t="s">
        <v>39</v>
      </c>
      <c r="F5" t="s">
        <v>7</v>
      </c>
      <c r="G5" s="2" t="s">
        <v>202</v>
      </c>
      <c r="H5" s="1" t="s">
        <v>201</v>
      </c>
      <c r="J5" t="s">
        <v>30</v>
      </c>
      <c r="K5" t="s">
        <v>31</v>
      </c>
    </row>
    <row r="6" spans="1:13">
      <c r="A6">
        <v>5</v>
      </c>
      <c r="B6" t="s">
        <v>6</v>
      </c>
      <c r="C6" t="s">
        <v>33</v>
      </c>
      <c r="D6" t="s">
        <v>35</v>
      </c>
      <c r="I6" t="s">
        <v>30</v>
      </c>
      <c r="K6" t="s">
        <v>53</v>
      </c>
      <c r="M6" t="s">
        <v>11</v>
      </c>
    </row>
    <row r="7" spans="1:13">
      <c r="A7">
        <v>6</v>
      </c>
      <c r="B7" t="s">
        <v>6</v>
      </c>
      <c r="C7" t="s">
        <v>74</v>
      </c>
      <c r="D7" t="s">
        <v>26</v>
      </c>
      <c r="E7" t="s">
        <v>38</v>
      </c>
      <c r="F7" t="s">
        <v>72</v>
      </c>
      <c r="G7" t="s">
        <v>200</v>
      </c>
      <c r="H7" t="s">
        <v>202</v>
      </c>
      <c r="I7" t="s">
        <v>32</v>
      </c>
      <c r="M7" t="s">
        <v>56</v>
      </c>
    </row>
    <row r="8" spans="1:13">
      <c r="A8">
        <v>7</v>
      </c>
      <c r="B8" t="s">
        <v>32</v>
      </c>
      <c r="C8" t="s">
        <v>9</v>
      </c>
      <c r="D8" t="s">
        <v>7</v>
      </c>
      <c r="E8" t="s">
        <v>38</v>
      </c>
      <c r="F8" t="s">
        <v>72</v>
      </c>
      <c r="G8" s="3" t="s">
        <v>200</v>
      </c>
      <c r="H8" s="2" t="s">
        <v>202</v>
      </c>
      <c r="M8" t="s">
        <v>21</v>
      </c>
    </row>
    <row r="9" spans="1:13">
      <c r="A9">
        <v>8</v>
      </c>
      <c r="B9" t="s">
        <v>32</v>
      </c>
      <c r="C9" t="s">
        <v>19</v>
      </c>
      <c r="D9" t="s">
        <v>7</v>
      </c>
      <c r="E9" t="s">
        <v>39</v>
      </c>
      <c r="F9" t="s">
        <v>38</v>
      </c>
      <c r="G9" s="1" t="s">
        <v>201</v>
      </c>
      <c r="H9" s="3" t="s">
        <v>200</v>
      </c>
      <c r="J9" t="s">
        <v>42</v>
      </c>
    </row>
    <row r="10" spans="1:13">
      <c r="A10">
        <v>9</v>
      </c>
      <c r="B10" t="s">
        <v>32</v>
      </c>
      <c r="C10" t="s">
        <v>25</v>
      </c>
      <c r="D10" t="s">
        <v>26</v>
      </c>
      <c r="E10" t="s">
        <v>39</v>
      </c>
      <c r="F10" t="s">
        <v>7</v>
      </c>
      <c r="G10" s="4" t="s">
        <v>203</v>
      </c>
      <c r="H10" s="1" t="s">
        <v>201</v>
      </c>
      <c r="J10" t="s">
        <v>45</v>
      </c>
      <c r="K10" t="s">
        <v>46</v>
      </c>
    </row>
    <row r="11" spans="1:13">
      <c r="A11">
        <v>10</v>
      </c>
      <c r="B11" t="s">
        <v>32</v>
      </c>
      <c r="C11" t="s">
        <v>29</v>
      </c>
      <c r="D11" t="s">
        <v>26</v>
      </c>
      <c r="I11" t="s">
        <v>51</v>
      </c>
      <c r="M11" t="s">
        <v>6</v>
      </c>
    </row>
    <row r="12" spans="1:13">
      <c r="A12">
        <v>11</v>
      </c>
      <c r="B12" t="s">
        <v>32</v>
      </c>
      <c r="C12" t="s">
        <v>34</v>
      </c>
      <c r="D12" t="s">
        <v>35</v>
      </c>
      <c r="E12" t="s">
        <v>40</v>
      </c>
      <c r="F12" t="s">
        <v>72</v>
      </c>
      <c r="G12" s="2" t="s">
        <v>202</v>
      </c>
      <c r="H12" s="3" t="s">
        <v>200</v>
      </c>
      <c r="I12" t="s">
        <v>30</v>
      </c>
      <c r="K12" t="s">
        <v>48</v>
      </c>
      <c r="M12" t="s">
        <v>21</v>
      </c>
    </row>
    <row r="13" spans="1:13">
      <c r="A13">
        <v>12</v>
      </c>
      <c r="B13" t="s">
        <v>32</v>
      </c>
      <c r="C13" t="s">
        <v>74</v>
      </c>
      <c r="D13" t="s">
        <v>35</v>
      </c>
      <c r="G13" s="5"/>
      <c r="H13" s="5"/>
    </row>
    <row r="14" spans="1:13">
      <c r="A14">
        <v>13</v>
      </c>
      <c r="B14" t="s">
        <v>21</v>
      </c>
      <c r="C14" t="s">
        <v>9</v>
      </c>
      <c r="D14" t="s">
        <v>7</v>
      </c>
      <c r="E14" t="s">
        <v>39</v>
      </c>
      <c r="F14" t="s">
        <v>72</v>
      </c>
      <c r="G14" s="2" t="s">
        <v>202</v>
      </c>
      <c r="H14" s="3" t="s">
        <v>200</v>
      </c>
      <c r="J14" t="s">
        <v>32</v>
      </c>
    </row>
    <row r="15" spans="1:13">
      <c r="A15">
        <v>14</v>
      </c>
      <c r="B15" t="s">
        <v>21</v>
      </c>
      <c r="C15" t="s">
        <v>19</v>
      </c>
      <c r="D15" t="s">
        <v>7</v>
      </c>
      <c r="E15" t="s">
        <v>40</v>
      </c>
      <c r="F15" t="s">
        <v>38</v>
      </c>
      <c r="G15" s="1" t="s">
        <v>201</v>
      </c>
      <c r="H15" s="3" t="s">
        <v>200</v>
      </c>
      <c r="M15" t="s">
        <v>46</v>
      </c>
    </row>
    <row r="16" spans="1:13">
      <c r="A16">
        <v>15</v>
      </c>
      <c r="B16" t="s">
        <v>21</v>
      </c>
      <c r="C16" t="s">
        <v>25</v>
      </c>
      <c r="D16" t="s">
        <v>26</v>
      </c>
      <c r="E16" t="s">
        <v>38</v>
      </c>
      <c r="F16" t="s">
        <v>38</v>
      </c>
      <c r="G16" s="4" t="s">
        <v>203</v>
      </c>
      <c r="H16" s="3" t="s">
        <v>200</v>
      </c>
      <c r="J16" t="s">
        <v>49</v>
      </c>
      <c r="K16" t="s">
        <v>50</v>
      </c>
    </row>
    <row r="17" spans="1:13">
      <c r="A17">
        <v>16</v>
      </c>
      <c r="B17" t="s">
        <v>21</v>
      </c>
      <c r="C17" t="s">
        <v>29</v>
      </c>
      <c r="D17" t="s">
        <v>26</v>
      </c>
      <c r="E17" t="s">
        <v>40</v>
      </c>
      <c r="F17" t="s">
        <v>7</v>
      </c>
      <c r="G17" s="1" t="s">
        <v>201</v>
      </c>
      <c r="H17" s="2" t="s">
        <v>202</v>
      </c>
      <c r="I17" t="s">
        <v>51</v>
      </c>
      <c r="M17" t="s">
        <v>11</v>
      </c>
    </row>
    <row r="18" spans="1:13">
      <c r="A18">
        <v>17</v>
      </c>
      <c r="B18" t="s">
        <v>21</v>
      </c>
      <c r="C18" t="s">
        <v>34</v>
      </c>
      <c r="D18" t="s">
        <v>35</v>
      </c>
      <c r="I18" t="s">
        <v>28</v>
      </c>
      <c r="K18" t="s">
        <v>6</v>
      </c>
      <c r="M18" t="s">
        <v>32</v>
      </c>
    </row>
    <row r="19" spans="1:13">
      <c r="A19">
        <v>18</v>
      </c>
      <c r="B19" t="s">
        <v>30</v>
      </c>
      <c r="C19" t="s">
        <v>9</v>
      </c>
      <c r="D19" t="s">
        <v>7</v>
      </c>
      <c r="E19" t="s">
        <v>39</v>
      </c>
      <c r="F19" t="s">
        <v>72</v>
      </c>
      <c r="G19" s="3" t="s">
        <v>200</v>
      </c>
      <c r="H19" s="2" t="s">
        <v>202</v>
      </c>
      <c r="J19" t="s">
        <v>11</v>
      </c>
    </row>
    <row r="20" spans="1:13">
      <c r="A20">
        <v>19</v>
      </c>
      <c r="B20" t="s">
        <v>30</v>
      </c>
      <c r="C20" t="s">
        <v>19</v>
      </c>
      <c r="D20" t="s">
        <v>7</v>
      </c>
      <c r="E20" t="s">
        <v>40</v>
      </c>
      <c r="F20" t="s">
        <v>7</v>
      </c>
      <c r="G20" s="1" t="s">
        <v>201</v>
      </c>
      <c r="H20" s="2" t="s">
        <v>202</v>
      </c>
      <c r="M20" t="s">
        <v>53</v>
      </c>
    </row>
    <row r="21" spans="1:13">
      <c r="A21">
        <v>20</v>
      </c>
      <c r="B21" t="s">
        <v>30</v>
      </c>
      <c r="C21" t="s">
        <v>25</v>
      </c>
      <c r="D21" t="s">
        <v>26</v>
      </c>
      <c r="E21" t="s">
        <v>39</v>
      </c>
      <c r="F21" t="s">
        <v>38</v>
      </c>
      <c r="G21" s="1" t="s">
        <v>201</v>
      </c>
      <c r="H21" s="3" t="s">
        <v>200</v>
      </c>
      <c r="J21" t="s">
        <v>31</v>
      </c>
      <c r="K21" t="s">
        <v>49</v>
      </c>
    </row>
    <row r="22" spans="1:13">
      <c r="A22">
        <v>21</v>
      </c>
      <c r="B22" t="s">
        <v>30</v>
      </c>
      <c r="C22" t="s">
        <v>29</v>
      </c>
      <c r="D22" t="s">
        <v>26</v>
      </c>
      <c r="E22" t="s">
        <v>40</v>
      </c>
      <c r="F22" t="s">
        <v>72</v>
      </c>
      <c r="G22" s="2" t="s">
        <v>202</v>
      </c>
      <c r="H22" s="3" t="s">
        <v>200</v>
      </c>
      <c r="I22" t="s">
        <v>28</v>
      </c>
      <c r="M22" t="s">
        <v>6</v>
      </c>
    </row>
    <row r="23" spans="1:13">
      <c r="A23">
        <v>22</v>
      </c>
      <c r="B23" t="s">
        <v>30</v>
      </c>
      <c r="C23" t="s">
        <v>34</v>
      </c>
      <c r="D23" t="s">
        <v>35</v>
      </c>
      <c r="E23" t="s">
        <v>38</v>
      </c>
      <c r="F23" t="s">
        <v>72</v>
      </c>
      <c r="G23" s="3" t="s">
        <v>200</v>
      </c>
      <c r="H23" s="2" t="s">
        <v>202</v>
      </c>
      <c r="I23" t="s">
        <v>42</v>
      </c>
      <c r="K23" t="s">
        <v>54</v>
      </c>
      <c r="M23" t="s">
        <v>11</v>
      </c>
    </row>
    <row r="24" spans="1:13">
      <c r="A24">
        <v>23</v>
      </c>
      <c r="B24" t="s">
        <v>30</v>
      </c>
      <c r="C24" t="s">
        <v>58</v>
      </c>
      <c r="D24" t="s">
        <v>7</v>
      </c>
      <c r="E24" t="s">
        <v>40</v>
      </c>
      <c r="F24" t="s">
        <v>7</v>
      </c>
      <c r="G24" s="2" t="s">
        <v>202</v>
      </c>
      <c r="H24" s="1" t="s">
        <v>201</v>
      </c>
      <c r="J24" t="s">
        <v>56</v>
      </c>
    </row>
    <row r="25" spans="1:13">
      <c r="A25">
        <v>24</v>
      </c>
      <c r="B25" t="s">
        <v>11</v>
      </c>
      <c r="C25" t="s">
        <v>9</v>
      </c>
      <c r="D25" t="s">
        <v>7</v>
      </c>
      <c r="E25" t="s">
        <v>40</v>
      </c>
      <c r="F25" t="s">
        <v>72</v>
      </c>
      <c r="G25" s="3" t="s">
        <v>200</v>
      </c>
      <c r="H25" s="2" t="s">
        <v>202</v>
      </c>
      <c r="M25" t="s">
        <v>30</v>
      </c>
    </row>
    <row r="26" spans="1:13">
      <c r="A26">
        <v>25</v>
      </c>
      <c r="B26" t="s">
        <v>11</v>
      </c>
      <c r="C26" t="s">
        <v>19</v>
      </c>
      <c r="D26" t="s">
        <v>7</v>
      </c>
      <c r="E26" t="s">
        <v>39</v>
      </c>
      <c r="F26" t="s">
        <v>7</v>
      </c>
      <c r="G26" s="2" t="s">
        <v>202</v>
      </c>
      <c r="H26" s="1" t="s">
        <v>201</v>
      </c>
      <c r="J26" t="s">
        <v>50</v>
      </c>
    </row>
    <row r="27" spans="1:13">
      <c r="A27">
        <v>26</v>
      </c>
      <c r="B27" t="s">
        <v>11</v>
      </c>
      <c r="C27" t="s">
        <v>25</v>
      </c>
      <c r="D27" t="s">
        <v>26</v>
      </c>
      <c r="E27" t="s">
        <v>40</v>
      </c>
      <c r="F27" t="s">
        <v>7</v>
      </c>
      <c r="G27" s="1" t="s">
        <v>201</v>
      </c>
      <c r="H27" s="2" t="s">
        <v>202</v>
      </c>
      <c r="I27" t="s">
        <v>51</v>
      </c>
      <c r="M27" t="s">
        <v>32</v>
      </c>
    </row>
    <row r="28" spans="1:13">
      <c r="A28">
        <v>27</v>
      </c>
      <c r="B28" t="s">
        <v>11</v>
      </c>
      <c r="C28" t="s">
        <v>29</v>
      </c>
      <c r="D28" t="s">
        <v>26</v>
      </c>
      <c r="E28" t="s">
        <v>38</v>
      </c>
      <c r="F28" t="s">
        <v>38</v>
      </c>
      <c r="G28" s="3" t="s">
        <v>200</v>
      </c>
      <c r="H28" s="4" t="s">
        <v>203</v>
      </c>
      <c r="J28" t="s">
        <v>6</v>
      </c>
      <c r="K28" t="s">
        <v>54</v>
      </c>
    </row>
    <row r="29" spans="1:13">
      <c r="A29">
        <v>28</v>
      </c>
      <c r="B29" t="s">
        <v>11</v>
      </c>
      <c r="C29" t="s">
        <v>34</v>
      </c>
      <c r="D29" t="s">
        <v>35</v>
      </c>
      <c r="E29" t="s">
        <v>39</v>
      </c>
      <c r="F29" t="s">
        <v>38</v>
      </c>
      <c r="G29" s="1" t="s">
        <v>201</v>
      </c>
      <c r="H29" s="3" t="s">
        <v>200</v>
      </c>
      <c r="I29" t="s">
        <v>21</v>
      </c>
      <c r="K29" t="s">
        <v>31</v>
      </c>
      <c r="M29" t="s">
        <v>30</v>
      </c>
    </row>
    <row r="30" spans="1:13">
      <c r="A30">
        <v>29</v>
      </c>
      <c r="B30" t="s">
        <v>42</v>
      </c>
      <c r="C30" t="s">
        <v>9</v>
      </c>
      <c r="D30" t="s">
        <v>7</v>
      </c>
      <c r="E30" t="s">
        <v>40</v>
      </c>
      <c r="F30" t="s">
        <v>72</v>
      </c>
      <c r="G30" s="3" t="s">
        <v>200</v>
      </c>
      <c r="H30" s="2" t="s">
        <v>202</v>
      </c>
      <c r="M30" t="s">
        <v>6</v>
      </c>
    </row>
    <row r="31" spans="1:13">
      <c r="A31">
        <v>30</v>
      </c>
      <c r="B31" t="s">
        <v>42</v>
      </c>
      <c r="C31" t="s">
        <v>19</v>
      </c>
      <c r="D31" t="s">
        <v>7</v>
      </c>
      <c r="E31" t="s">
        <v>39</v>
      </c>
      <c r="F31" t="s">
        <v>7</v>
      </c>
      <c r="G31" s="2" t="s">
        <v>202</v>
      </c>
      <c r="H31" s="1" t="s">
        <v>201</v>
      </c>
      <c r="J31" t="s">
        <v>45</v>
      </c>
    </row>
    <row r="32" spans="1:13">
      <c r="A32">
        <v>31</v>
      </c>
      <c r="B32" t="s">
        <v>42</v>
      </c>
      <c r="C32" t="s">
        <v>25</v>
      </c>
      <c r="D32" t="s">
        <v>26</v>
      </c>
      <c r="E32" t="s">
        <v>39</v>
      </c>
      <c r="F32" t="s">
        <v>7</v>
      </c>
      <c r="G32" s="1" t="s">
        <v>201</v>
      </c>
      <c r="H32" s="2" t="s">
        <v>202</v>
      </c>
      <c r="J32" t="s">
        <v>49</v>
      </c>
      <c r="K32" t="s">
        <v>51</v>
      </c>
    </row>
    <row r="33" spans="1:32">
      <c r="A33">
        <v>32</v>
      </c>
      <c r="B33" t="s">
        <v>42</v>
      </c>
      <c r="C33" t="s">
        <v>29</v>
      </c>
      <c r="D33" t="s">
        <v>26</v>
      </c>
      <c r="E33" t="s">
        <v>38</v>
      </c>
      <c r="F33" t="s">
        <v>38</v>
      </c>
      <c r="G33" s="3" t="s">
        <v>200</v>
      </c>
      <c r="H33" s="1" t="s">
        <v>201</v>
      </c>
      <c r="I33" t="s">
        <v>31</v>
      </c>
      <c r="M33" t="s">
        <v>49</v>
      </c>
    </row>
    <row r="34" spans="1:32">
      <c r="A34">
        <v>33</v>
      </c>
      <c r="B34" t="s">
        <v>42</v>
      </c>
      <c r="C34" t="s">
        <v>34</v>
      </c>
      <c r="D34" t="s">
        <v>35</v>
      </c>
      <c r="E34" t="s">
        <v>40</v>
      </c>
      <c r="F34" t="s">
        <v>38</v>
      </c>
      <c r="G34" t="s">
        <v>200</v>
      </c>
      <c r="H34" t="s">
        <v>200</v>
      </c>
      <c r="I34" t="s">
        <v>67</v>
      </c>
      <c r="K34" t="s">
        <v>21</v>
      </c>
      <c r="M34" t="s">
        <v>45</v>
      </c>
    </row>
    <row r="35" spans="1:32">
      <c r="A35">
        <v>34</v>
      </c>
      <c r="B35" t="s">
        <v>42</v>
      </c>
      <c r="C35" t="s">
        <v>58</v>
      </c>
      <c r="D35" t="s">
        <v>35</v>
      </c>
    </row>
    <row r="36" spans="1:32">
      <c r="A36">
        <v>35</v>
      </c>
      <c r="B36" t="s">
        <v>49</v>
      </c>
      <c r="C36" t="s">
        <v>9</v>
      </c>
      <c r="D36" t="s">
        <v>7</v>
      </c>
      <c r="E36" t="s">
        <v>38</v>
      </c>
      <c r="F36" t="s">
        <v>38</v>
      </c>
      <c r="G36" s="1" t="s">
        <v>201</v>
      </c>
      <c r="H36" s="3" t="s">
        <v>200</v>
      </c>
      <c r="M36" t="s">
        <v>42</v>
      </c>
    </row>
    <row r="37" spans="1:32">
      <c r="A37">
        <v>36</v>
      </c>
      <c r="B37" t="s">
        <v>49</v>
      </c>
      <c r="C37" t="s">
        <v>19</v>
      </c>
      <c r="D37" t="s">
        <v>7</v>
      </c>
      <c r="E37" t="s">
        <v>39</v>
      </c>
      <c r="F37" t="s">
        <v>72</v>
      </c>
      <c r="G37" s="3" t="s">
        <v>200</v>
      </c>
      <c r="H37" s="2" t="s">
        <v>202</v>
      </c>
      <c r="J37" t="s">
        <v>21</v>
      </c>
    </row>
    <row r="38" spans="1:32">
      <c r="A38">
        <v>37</v>
      </c>
      <c r="B38" t="s">
        <v>49</v>
      </c>
      <c r="C38" t="s">
        <v>25</v>
      </c>
      <c r="D38" t="s">
        <v>26</v>
      </c>
      <c r="E38" t="s">
        <v>39</v>
      </c>
      <c r="F38" t="s">
        <v>72</v>
      </c>
      <c r="G38" s="4" t="s">
        <v>203</v>
      </c>
      <c r="H38" s="2" t="s">
        <v>202</v>
      </c>
      <c r="J38" t="s">
        <v>45</v>
      </c>
      <c r="K38" t="s">
        <v>50</v>
      </c>
    </row>
    <row r="39" spans="1:32">
      <c r="A39">
        <v>38</v>
      </c>
      <c r="B39" t="s">
        <v>49</v>
      </c>
      <c r="C39" t="s">
        <v>29</v>
      </c>
      <c r="D39" t="s">
        <v>26</v>
      </c>
      <c r="E39" t="s">
        <v>40</v>
      </c>
      <c r="F39" t="s">
        <v>38</v>
      </c>
      <c r="G39" s="1" t="s">
        <v>201</v>
      </c>
      <c r="H39" s="3" t="s">
        <v>200</v>
      </c>
      <c r="I39" t="s">
        <v>32</v>
      </c>
      <c r="M39" t="s">
        <v>54</v>
      </c>
    </row>
    <row r="40" spans="1:32">
      <c r="A40">
        <v>39</v>
      </c>
      <c r="B40" t="s">
        <v>49</v>
      </c>
      <c r="C40" t="s">
        <v>34</v>
      </c>
      <c r="D40" t="s">
        <v>35</v>
      </c>
      <c r="E40" t="s">
        <v>40</v>
      </c>
      <c r="F40" t="s">
        <v>72</v>
      </c>
      <c r="G40" s="2" t="s">
        <v>202</v>
      </c>
      <c r="H40" s="3" t="s">
        <v>200</v>
      </c>
      <c r="I40" t="s">
        <v>42</v>
      </c>
      <c r="K40" t="s">
        <v>50</v>
      </c>
      <c r="M40" t="s">
        <v>45</v>
      </c>
    </row>
    <row r="41" spans="1:32">
      <c r="A41">
        <v>40</v>
      </c>
      <c r="B41" t="s">
        <v>49</v>
      </c>
      <c r="C41" t="s">
        <v>55</v>
      </c>
      <c r="D41" t="s">
        <v>26</v>
      </c>
      <c r="E41" t="s">
        <v>40</v>
      </c>
      <c r="F41" t="s">
        <v>38</v>
      </c>
      <c r="G41" s="3" t="s">
        <v>200</v>
      </c>
      <c r="H41" s="1" t="s">
        <v>201</v>
      </c>
      <c r="J41" t="s">
        <v>53</v>
      </c>
      <c r="K41" t="s">
        <v>45</v>
      </c>
      <c r="U41" s="28"/>
      <c r="V41" s="28"/>
      <c r="W41" s="28"/>
      <c r="X41" s="28"/>
      <c r="Y41" s="28"/>
      <c r="Z41" s="28"/>
      <c r="AA41" s="28"/>
      <c r="AB41" s="28"/>
      <c r="AC41" s="28"/>
      <c r="AD41" s="28"/>
      <c r="AE41" s="28"/>
      <c r="AF41" s="28"/>
    </row>
    <row r="42" spans="1:32" ht="20" customHeight="1">
      <c r="A42">
        <v>41</v>
      </c>
      <c r="B42" t="s">
        <v>45</v>
      </c>
      <c r="C42" t="s">
        <v>9</v>
      </c>
      <c r="D42" t="s">
        <v>7</v>
      </c>
      <c r="E42" t="s">
        <v>38</v>
      </c>
      <c r="F42" t="s">
        <v>38</v>
      </c>
      <c r="G42" s="3" t="s">
        <v>200</v>
      </c>
      <c r="H42" s="1" t="s">
        <v>201</v>
      </c>
      <c r="J42" t="s">
        <v>42</v>
      </c>
    </row>
    <row r="43" spans="1:32" ht="20" customHeight="1">
      <c r="A43">
        <v>42</v>
      </c>
      <c r="B43" t="s">
        <v>45</v>
      </c>
      <c r="C43" t="s">
        <v>19</v>
      </c>
      <c r="D43" t="s">
        <v>7</v>
      </c>
      <c r="E43" t="s">
        <v>40</v>
      </c>
      <c r="F43" t="s">
        <v>7</v>
      </c>
      <c r="G43" s="1" t="s">
        <v>201</v>
      </c>
      <c r="H43" s="2" t="s">
        <v>202</v>
      </c>
      <c r="M43" t="s">
        <v>11</v>
      </c>
    </row>
    <row r="44" spans="1:32" ht="20" customHeight="1">
      <c r="A44">
        <v>43</v>
      </c>
      <c r="B44" t="s">
        <v>45</v>
      </c>
      <c r="C44" t="s">
        <v>25</v>
      </c>
      <c r="D44" t="s">
        <v>26</v>
      </c>
      <c r="E44" t="s">
        <v>40</v>
      </c>
      <c r="F44" t="s">
        <v>7</v>
      </c>
      <c r="G44" s="2" t="s">
        <v>202</v>
      </c>
      <c r="H44" s="1" t="s">
        <v>201</v>
      </c>
      <c r="I44" t="s">
        <v>28</v>
      </c>
      <c r="M44" t="s">
        <v>6</v>
      </c>
    </row>
    <row r="45" spans="1:32" ht="20" customHeight="1">
      <c r="A45">
        <v>44</v>
      </c>
      <c r="B45" t="s">
        <v>45</v>
      </c>
      <c r="C45" t="s">
        <v>29</v>
      </c>
      <c r="D45" t="s">
        <v>26</v>
      </c>
      <c r="E45" t="s">
        <v>39</v>
      </c>
      <c r="F45" t="s">
        <v>72</v>
      </c>
      <c r="G45" s="3" t="s">
        <v>200</v>
      </c>
      <c r="H45" s="2" t="s">
        <v>202</v>
      </c>
      <c r="I45" t="s">
        <v>62</v>
      </c>
      <c r="K45" t="s">
        <v>49</v>
      </c>
    </row>
    <row r="46" spans="1:32" ht="20" customHeight="1">
      <c r="A46">
        <v>45</v>
      </c>
      <c r="B46" t="s">
        <v>45</v>
      </c>
      <c r="C46" t="s">
        <v>34</v>
      </c>
      <c r="D46" t="s">
        <v>35</v>
      </c>
      <c r="E46" t="s">
        <v>39</v>
      </c>
      <c r="F46" t="s">
        <v>7</v>
      </c>
      <c r="G46" s="4" t="s">
        <v>203</v>
      </c>
      <c r="H46" s="1" t="s">
        <v>201</v>
      </c>
      <c r="I46" t="s">
        <v>42</v>
      </c>
      <c r="K46" t="s">
        <v>53</v>
      </c>
      <c r="M46" t="s">
        <v>49</v>
      </c>
    </row>
    <row r="47" spans="1:32">
      <c r="A47">
        <v>46</v>
      </c>
      <c r="B47" t="s">
        <v>45</v>
      </c>
      <c r="C47" t="s">
        <v>58</v>
      </c>
      <c r="D47" t="s">
        <v>7</v>
      </c>
      <c r="E47" t="s">
        <v>40</v>
      </c>
      <c r="F47" t="s">
        <v>38</v>
      </c>
      <c r="G47" s="4" t="s">
        <v>203</v>
      </c>
      <c r="H47" s="3" t="s">
        <v>200</v>
      </c>
      <c r="M47" t="s">
        <v>28</v>
      </c>
    </row>
    <row r="48" spans="1:32" ht="20" customHeight="1">
      <c r="A48">
        <v>47</v>
      </c>
      <c r="B48" t="s">
        <v>53</v>
      </c>
      <c r="C48" t="s">
        <v>9</v>
      </c>
      <c r="D48" t="s">
        <v>7</v>
      </c>
      <c r="E48" t="s">
        <v>39</v>
      </c>
      <c r="F48" t="s">
        <v>7</v>
      </c>
      <c r="G48" s="1" t="s">
        <v>201</v>
      </c>
      <c r="H48" s="2" t="s">
        <v>202</v>
      </c>
      <c r="J48" t="s">
        <v>50</v>
      </c>
    </row>
    <row r="49" spans="1:13" ht="20" customHeight="1">
      <c r="A49">
        <v>48</v>
      </c>
      <c r="B49" t="s">
        <v>53</v>
      </c>
      <c r="C49" t="s">
        <v>19</v>
      </c>
      <c r="D49" t="s">
        <v>7</v>
      </c>
      <c r="E49" t="s">
        <v>40</v>
      </c>
      <c r="F49" t="s">
        <v>72</v>
      </c>
      <c r="G49" s="2" t="s">
        <v>202</v>
      </c>
      <c r="H49" s="3" t="s">
        <v>200</v>
      </c>
      <c r="M49" t="s">
        <v>62</v>
      </c>
    </row>
    <row r="50" spans="1:13" ht="20" customHeight="1">
      <c r="A50">
        <v>49</v>
      </c>
      <c r="B50" t="s">
        <v>53</v>
      </c>
      <c r="C50" t="s">
        <v>25</v>
      </c>
      <c r="D50" t="s">
        <v>26</v>
      </c>
      <c r="E50" t="s">
        <v>39</v>
      </c>
      <c r="F50" t="s">
        <v>72</v>
      </c>
      <c r="G50" s="3" t="s">
        <v>200</v>
      </c>
      <c r="H50" s="2" t="s">
        <v>202</v>
      </c>
      <c r="J50" t="s">
        <v>46</v>
      </c>
      <c r="K50" t="s">
        <v>51</v>
      </c>
    </row>
    <row r="51" spans="1:13" ht="20" customHeight="1">
      <c r="A51">
        <v>50</v>
      </c>
      <c r="B51" t="s">
        <v>53</v>
      </c>
      <c r="C51" t="s">
        <v>29</v>
      </c>
      <c r="D51" t="s">
        <v>26</v>
      </c>
      <c r="E51" t="s">
        <v>40</v>
      </c>
      <c r="F51" t="s">
        <v>38</v>
      </c>
      <c r="G51" s="4" t="s">
        <v>203</v>
      </c>
      <c r="H51" s="3" t="s">
        <v>200</v>
      </c>
      <c r="I51" t="s">
        <v>62</v>
      </c>
      <c r="M51" t="s">
        <v>67</v>
      </c>
    </row>
    <row r="52" spans="1:13" ht="20" customHeight="1">
      <c r="A52">
        <v>51</v>
      </c>
      <c r="B52" t="s">
        <v>53</v>
      </c>
      <c r="C52" t="s">
        <v>34</v>
      </c>
      <c r="D52" t="s">
        <v>35</v>
      </c>
      <c r="E52" t="s">
        <v>38</v>
      </c>
      <c r="F52" t="s">
        <v>7</v>
      </c>
      <c r="G52" s="1" t="s">
        <v>201</v>
      </c>
      <c r="H52" s="1" t="s">
        <v>201</v>
      </c>
      <c r="J52" t="s">
        <v>50</v>
      </c>
      <c r="K52" t="s">
        <v>6</v>
      </c>
      <c r="L52" t="s">
        <v>31</v>
      </c>
    </row>
    <row r="53" spans="1:13">
      <c r="A53">
        <v>52</v>
      </c>
      <c r="B53" t="s">
        <v>53</v>
      </c>
      <c r="C53" t="s">
        <v>55</v>
      </c>
      <c r="D53" t="s">
        <v>35</v>
      </c>
    </row>
    <row r="54" spans="1:13">
      <c r="A54">
        <v>53</v>
      </c>
      <c r="B54" t="s">
        <v>50</v>
      </c>
      <c r="C54" t="s">
        <v>9</v>
      </c>
      <c r="D54" t="s">
        <v>7</v>
      </c>
      <c r="E54" t="s">
        <v>39</v>
      </c>
      <c r="F54" t="s">
        <v>7</v>
      </c>
      <c r="G54" s="2" t="s">
        <v>202</v>
      </c>
      <c r="H54" s="1" t="s">
        <v>201</v>
      </c>
      <c r="J54" t="s">
        <v>62</v>
      </c>
    </row>
    <row r="55" spans="1:13">
      <c r="A55">
        <v>54</v>
      </c>
      <c r="B55" t="s">
        <v>50</v>
      </c>
      <c r="C55" t="s">
        <v>19</v>
      </c>
      <c r="D55" t="s">
        <v>7</v>
      </c>
      <c r="E55" t="s">
        <v>38</v>
      </c>
      <c r="F55" t="s">
        <v>38</v>
      </c>
      <c r="G55" s="3" t="s">
        <v>200</v>
      </c>
      <c r="H55" s="1" t="s">
        <v>201</v>
      </c>
      <c r="J55" t="s">
        <v>6</v>
      </c>
    </row>
    <row r="56" spans="1:13">
      <c r="A56">
        <v>55</v>
      </c>
      <c r="B56" t="s">
        <v>50</v>
      </c>
      <c r="C56" t="s">
        <v>25</v>
      </c>
      <c r="D56" t="s">
        <v>26</v>
      </c>
      <c r="E56" t="s">
        <v>40</v>
      </c>
      <c r="F56" t="s">
        <v>38</v>
      </c>
      <c r="G56" s="1" t="s">
        <v>201</v>
      </c>
      <c r="H56" s="3" t="s">
        <v>200</v>
      </c>
      <c r="I56" t="s">
        <v>62</v>
      </c>
      <c r="M56" t="s">
        <v>30</v>
      </c>
    </row>
    <row r="57" spans="1:13">
      <c r="A57">
        <v>56</v>
      </c>
      <c r="B57" t="s">
        <v>50</v>
      </c>
      <c r="C57" t="s">
        <v>29</v>
      </c>
      <c r="D57" t="s">
        <v>26</v>
      </c>
      <c r="E57" t="s">
        <v>40</v>
      </c>
      <c r="F57" t="s">
        <v>72</v>
      </c>
      <c r="G57" s="2" t="s">
        <v>202</v>
      </c>
      <c r="H57" s="4" t="s">
        <v>203</v>
      </c>
      <c r="I57" t="s">
        <v>48</v>
      </c>
      <c r="M57" t="s">
        <v>11</v>
      </c>
    </row>
    <row r="58" spans="1:13">
      <c r="A58">
        <v>57</v>
      </c>
      <c r="B58" t="s">
        <v>50</v>
      </c>
      <c r="C58" t="s">
        <v>34</v>
      </c>
      <c r="D58" t="s">
        <v>35</v>
      </c>
      <c r="I58" t="s">
        <v>11</v>
      </c>
      <c r="J58" t="s">
        <v>62</v>
      </c>
      <c r="K58" t="s">
        <v>53</v>
      </c>
    </row>
    <row r="59" spans="1:13">
      <c r="A59">
        <v>58</v>
      </c>
      <c r="B59" t="s">
        <v>50</v>
      </c>
      <c r="C59" t="s">
        <v>55</v>
      </c>
      <c r="D59" t="s">
        <v>26</v>
      </c>
      <c r="E59" t="s">
        <v>39</v>
      </c>
      <c r="F59" t="s">
        <v>72</v>
      </c>
      <c r="G59" s="2" t="s">
        <v>202</v>
      </c>
      <c r="H59" s="3" t="s">
        <v>200</v>
      </c>
      <c r="I59" t="s">
        <v>68</v>
      </c>
      <c r="M59" t="s">
        <v>31</v>
      </c>
    </row>
    <row r="60" spans="1:13">
      <c r="A60">
        <v>59</v>
      </c>
      <c r="B60" t="s">
        <v>62</v>
      </c>
      <c r="C60" t="s">
        <v>9</v>
      </c>
      <c r="D60" t="s">
        <v>7</v>
      </c>
      <c r="E60" t="s">
        <v>40</v>
      </c>
      <c r="F60" t="s">
        <v>38</v>
      </c>
      <c r="G60" s="3" t="s">
        <v>200</v>
      </c>
      <c r="H60" s="1" t="s">
        <v>201</v>
      </c>
      <c r="M60" t="s">
        <v>53</v>
      </c>
    </row>
    <row r="61" spans="1:13">
      <c r="A61">
        <v>60</v>
      </c>
      <c r="B61" t="s">
        <v>62</v>
      </c>
      <c r="C61" t="s">
        <v>19</v>
      </c>
      <c r="D61" t="s">
        <v>7</v>
      </c>
      <c r="E61" t="s">
        <v>38</v>
      </c>
      <c r="F61" t="s">
        <v>72</v>
      </c>
      <c r="G61" s="2" t="s">
        <v>202</v>
      </c>
      <c r="H61" s="2" t="s">
        <v>202</v>
      </c>
      <c r="M61" t="s">
        <v>50</v>
      </c>
    </row>
    <row r="62" spans="1:13">
      <c r="A62">
        <v>61</v>
      </c>
      <c r="B62" t="s">
        <v>62</v>
      </c>
      <c r="C62" t="s">
        <v>25</v>
      </c>
      <c r="D62" t="s">
        <v>26</v>
      </c>
      <c r="E62" t="s">
        <v>39</v>
      </c>
      <c r="F62" t="s">
        <v>7</v>
      </c>
      <c r="G62" s="1" t="s">
        <v>201</v>
      </c>
      <c r="H62" s="4" t="s">
        <v>203</v>
      </c>
      <c r="J62" t="s">
        <v>32</v>
      </c>
      <c r="K62" t="s">
        <v>31</v>
      </c>
    </row>
    <row r="63" spans="1:13">
      <c r="A63">
        <v>62</v>
      </c>
      <c r="B63" t="s">
        <v>62</v>
      </c>
      <c r="C63" t="s">
        <v>29</v>
      </c>
      <c r="D63" t="s">
        <v>26</v>
      </c>
      <c r="E63" t="s">
        <v>39</v>
      </c>
      <c r="F63" t="s">
        <v>38</v>
      </c>
      <c r="G63" s="3" t="s">
        <v>200</v>
      </c>
      <c r="H63" s="1" t="s">
        <v>201</v>
      </c>
      <c r="J63" t="s">
        <v>53</v>
      </c>
      <c r="K63" t="s">
        <v>48</v>
      </c>
    </row>
    <row r="64" spans="1:13">
      <c r="A64">
        <v>63</v>
      </c>
      <c r="B64" t="s">
        <v>62</v>
      </c>
      <c r="C64" t="s">
        <v>34</v>
      </c>
      <c r="D64" t="s">
        <v>35</v>
      </c>
      <c r="E64" t="s">
        <v>40</v>
      </c>
      <c r="F64" t="s">
        <v>72</v>
      </c>
      <c r="G64" s="2" t="s">
        <v>202</v>
      </c>
      <c r="H64" s="3" t="s">
        <v>200</v>
      </c>
      <c r="I64" t="s">
        <v>48</v>
      </c>
      <c r="K64" t="s">
        <v>53</v>
      </c>
      <c r="M64" t="s">
        <v>50</v>
      </c>
    </row>
    <row r="65" spans="1:13">
      <c r="A65">
        <v>64</v>
      </c>
      <c r="B65" t="s">
        <v>48</v>
      </c>
      <c r="C65" t="s">
        <v>9</v>
      </c>
      <c r="D65" t="s">
        <v>7</v>
      </c>
      <c r="E65" t="s">
        <v>39</v>
      </c>
      <c r="F65" t="s">
        <v>7</v>
      </c>
      <c r="G65" s="4" t="s">
        <v>203</v>
      </c>
      <c r="H65" s="1" t="s">
        <v>201</v>
      </c>
      <c r="J65" t="s">
        <v>28</v>
      </c>
    </row>
    <row r="66" spans="1:13">
      <c r="A66">
        <v>65</v>
      </c>
      <c r="B66" t="s">
        <v>48</v>
      </c>
      <c r="C66" t="s">
        <v>19</v>
      </c>
      <c r="D66" t="s">
        <v>7</v>
      </c>
      <c r="E66" t="s">
        <v>40</v>
      </c>
      <c r="F66" t="s">
        <v>38</v>
      </c>
      <c r="G66" s="1" t="s">
        <v>201</v>
      </c>
      <c r="H66" s="3" t="s">
        <v>200</v>
      </c>
      <c r="M66" t="s">
        <v>49</v>
      </c>
    </row>
    <row r="67" spans="1:13">
      <c r="A67">
        <v>66</v>
      </c>
      <c r="B67" t="s">
        <v>48</v>
      </c>
      <c r="C67" t="s">
        <v>25</v>
      </c>
      <c r="D67" t="s">
        <v>26</v>
      </c>
      <c r="J67" t="s">
        <v>45</v>
      </c>
      <c r="K67" t="s">
        <v>49</v>
      </c>
    </row>
    <row r="68" spans="1:13">
      <c r="A68">
        <v>67</v>
      </c>
      <c r="B68" t="s">
        <v>48</v>
      </c>
      <c r="C68" t="s">
        <v>29</v>
      </c>
      <c r="D68" t="s">
        <v>26</v>
      </c>
      <c r="E68" t="s">
        <v>40</v>
      </c>
      <c r="F68" t="s">
        <v>38</v>
      </c>
      <c r="G68" s="3" t="s">
        <v>200</v>
      </c>
      <c r="H68" s="4" t="s">
        <v>203</v>
      </c>
      <c r="I68" t="s">
        <v>67</v>
      </c>
      <c r="M68" t="s">
        <v>28</v>
      </c>
    </row>
    <row r="69" spans="1:13">
      <c r="A69">
        <v>68</v>
      </c>
      <c r="B69" t="s">
        <v>48</v>
      </c>
      <c r="C69" t="s">
        <v>34</v>
      </c>
      <c r="D69" t="s">
        <v>35</v>
      </c>
      <c r="J69" t="s">
        <v>28</v>
      </c>
      <c r="K69" t="s">
        <v>30</v>
      </c>
      <c r="L69" t="s">
        <v>46</v>
      </c>
    </row>
    <row r="70" spans="1:13">
      <c r="A70">
        <v>69</v>
      </c>
      <c r="B70" t="s">
        <v>48</v>
      </c>
      <c r="C70" t="s">
        <v>58</v>
      </c>
      <c r="D70" t="s">
        <v>26</v>
      </c>
      <c r="E70" t="s">
        <v>38</v>
      </c>
      <c r="F70" t="s">
        <v>7</v>
      </c>
      <c r="G70" s="1" t="s">
        <v>201</v>
      </c>
      <c r="H70" s="2" t="s">
        <v>202</v>
      </c>
      <c r="I70" t="s">
        <v>67</v>
      </c>
      <c r="M70" t="s">
        <v>42</v>
      </c>
    </row>
    <row r="71" spans="1:13">
      <c r="A71">
        <v>70</v>
      </c>
      <c r="B71" t="s">
        <v>28</v>
      </c>
      <c r="C71" t="s">
        <v>69</v>
      </c>
      <c r="D71" t="s">
        <v>7</v>
      </c>
      <c r="E71" t="s">
        <v>38</v>
      </c>
      <c r="F71" t="s">
        <v>7</v>
      </c>
      <c r="G71" s="1" t="s">
        <v>201</v>
      </c>
      <c r="H71" s="2" t="s">
        <v>202</v>
      </c>
      <c r="M71" t="s">
        <v>48</v>
      </c>
    </row>
    <row r="72" spans="1:13">
      <c r="A72">
        <v>71</v>
      </c>
      <c r="B72" t="s">
        <v>28</v>
      </c>
      <c r="C72" t="s">
        <v>19</v>
      </c>
      <c r="D72" t="s">
        <v>7</v>
      </c>
      <c r="E72" t="s">
        <v>39</v>
      </c>
      <c r="F72" t="s">
        <v>7</v>
      </c>
      <c r="G72" s="2" t="s">
        <v>202</v>
      </c>
      <c r="H72" s="1" t="s">
        <v>201</v>
      </c>
      <c r="J72" t="s">
        <v>62</v>
      </c>
    </row>
    <row r="73" spans="1:13">
      <c r="A73">
        <v>72</v>
      </c>
      <c r="B73" t="s">
        <v>28</v>
      </c>
      <c r="C73" t="s">
        <v>25</v>
      </c>
      <c r="D73" t="s">
        <v>26</v>
      </c>
      <c r="E73" t="s">
        <v>39</v>
      </c>
      <c r="F73" t="s">
        <v>72</v>
      </c>
      <c r="G73" s="2" t="s">
        <v>202</v>
      </c>
      <c r="H73" s="3" t="s">
        <v>200</v>
      </c>
      <c r="J73" t="s">
        <v>48</v>
      </c>
      <c r="K73" t="s">
        <v>53</v>
      </c>
    </row>
    <row r="74" spans="1:13">
      <c r="A74">
        <v>73</v>
      </c>
      <c r="B74" t="s">
        <v>28</v>
      </c>
      <c r="C74" t="s">
        <v>29</v>
      </c>
      <c r="D74" t="s">
        <v>26</v>
      </c>
      <c r="E74" t="s">
        <v>40</v>
      </c>
      <c r="F74" t="s">
        <v>38</v>
      </c>
      <c r="G74" s="3" t="s">
        <v>200</v>
      </c>
      <c r="H74" s="1" t="s">
        <v>201</v>
      </c>
      <c r="I74" t="s">
        <v>48</v>
      </c>
      <c r="M74" t="s">
        <v>6</v>
      </c>
    </row>
    <row r="75" spans="1:13">
      <c r="A75">
        <v>74</v>
      </c>
      <c r="B75" t="s">
        <v>28</v>
      </c>
      <c r="C75" t="s">
        <v>34</v>
      </c>
      <c r="D75" t="s">
        <v>35</v>
      </c>
      <c r="I75" t="s">
        <v>71</v>
      </c>
      <c r="K75" t="s">
        <v>32</v>
      </c>
      <c r="M75" t="s">
        <v>48</v>
      </c>
    </row>
    <row r="76" spans="1:13">
      <c r="A76">
        <v>75</v>
      </c>
      <c r="B76" t="s">
        <v>28</v>
      </c>
      <c r="C76" t="s">
        <v>58</v>
      </c>
      <c r="D76" t="s">
        <v>26</v>
      </c>
      <c r="E76" t="s">
        <v>40</v>
      </c>
      <c r="F76" t="s">
        <v>72</v>
      </c>
      <c r="G76" s="3" t="s">
        <v>200</v>
      </c>
      <c r="H76" s="2" t="s">
        <v>202</v>
      </c>
      <c r="I76" t="s">
        <v>45</v>
      </c>
      <c r="M76" t="s">
        <v>31</v>
      </c>
    </row>
    <row r="77" spans="1:13">
      <c r="A77">
        <v>76</v>
      </c>
      <c r="B77" t="s">
        <v>67</v>
      </c>
      <c r="C77" t="s">
        <v>69</v>
      </c>
      <c r="D77" t="s">
        <v>7</v>
      </c>
      <c r="E77" t="s">
        <v>38</v>
      </c>
      <c r="F77" t="s">
        <v>7</v>
      </c>
      <c r="G77" s="1" t="s">
        <v>201</v>
      </c>
      <c r="H77" s="2" t="s">
        <v>202</v>
      </c>
      <c r="J77" t="s">
        <v>51</v>
      </c>
    </row>
    <row r="78" spans="1:13">
      <c r="A78">
        <v>77</v>
      </c>
      <c r="B78" t="s">
        <v>67</v>
      </c>
      <c r="C78" t="s">
        <v>19</v>
      </c>
      <c r="D78" t="s">
        <v>7</v>
      </c>
      <c r="E78" t="s">
        <v>40</v>
      </c>
      <c r="F78" t="s">
        <v>38</v>
      </c>
      <c r="G78" s="3" t="s">
        <v>200</v>
      </c>
      <c r="H78" s="1" t="s">
        <v>201</v>
      </c>
      <c r="M78" t="s">
        <v>54</v>
      </c>
    </row>
    <row r="79" spans="1:13">
      <c r="A79">
        <v>78</v>
      </c>
      <c r="B79" t="s">
        <v>67</v>
      </c>
      <c r="C79" t="s">
        <v>25</v>
      </c>
      <c r="D79" t="s">
        <v>26</v>
      </c>
      <c r="E79" t="s">
        <v>39</v>
      </c>
      <c r="F79" t="s">
        <v>72</v>
      </c>
      <c r="G79" s="3" t="s">
        <v>200</v>
      </c>
      <c r="H79" s="2" t="s">
        <v>202</v>
      </c>
      <c r="J79" t="s">
        <v>11</v>
      </c>
      <c r="K79" t="s">
        <v>53</v>
      </c>
    </row>
    <row r="80" spans="1:13">
      <c r="A80">
        <v>79</v>
      </c>
      <c r="B80" t="s">
        <v>67</v>
      </c>
      <c r="C80" t="s">
        <v>29</v>
      </c>
      <c r="D80" t="s">
        <v>26</v>
      </c>
      <c r="E80" t="s">
        <v>40</v>
      </c>
      <c r="F80" t="s">
        <v>7</v>
      </c>
      <c r="G80" s="2" t="s">
        <v>202</v>
      </c>
      <c r="H80" s="1" t="s">
        <v>201</v>
      </c>
      <c r="I80" t="s">
        <v>49</v>
      </c>
      <c r="M80" t="s">
        <v>54</v>
      </c>
    </row>
    <row r="81" spans="1:13">
      <c r="A81">
        <v>80</v>
      </c>
      <c r="B81" t="s">
        <v>51</v>
      </c>
      <c r="C81" t="s">
        <v>69</v>
      </c>
      <c r="D81" t="s">
        <v>7</v>
      </c>
      <c r="E81" t="s">
        <v>39</v>
      </c>
      <c r="F81" t="s">
        <v>7</v>
      </c>
      <c r="G81" s="2" t="s">
        <v>202</v>
      </c>
      <c r="H81" s="1" t="s">
        <v>201</v>
      </c>
      <c r="J81" t="s">
        <v>54</v>
      </c>
    </row>
    <row r="82" spans="1:13">
      <c r="A82">
        <v>81</v>
      </c>
      <c r="B82" t="s">
        <v>51</v>
      </c>
      <c r="C82" t="s">
        <v>19</v>
      </c>
      <c r="D82" t="s">
        <v>7</v>
      </c>
      <c r="E82" t="s">
        <v>38</v>
      </c>
      <c r="F82" t="s">
        <v>38</v>
      </c>
      <c r="G82" s="3" t="s">
        <v>200</v>
      </c>
      <c r="H82" s="3" t="s">
        <v>200</v>
      </c>
      <c r="M82" t="s">
        <v>45</v>
      </c>
    </row>
    <row r="83" spans="1:13">
      <c r="A83">
        <v>82</v>
      </c>
      <c r="B83" t="s">
        <v>51</v>
      </c>
      <c r="C83" t="s">
        <v>25</v>
      </c>
      <c r="D83" t="s">
        <v>26</v>
      </c>
      <c r="E83" t="s">
        <v>39</v>
      </c>
      <c r="F83" t="s">
        <v>7</v>
      </c>
      <c r="G83" s="1" t="s">
        <v>201</v>
      </c>
      <c r="H83" s="4" t="s">
        <v>203</v>
      </c>
      <c r="J83" t="s">
        <v>46</v>
      </c>
      <c r="K83" t="s">
        <v>54</v>
      </c>
    </row>
    <row r="84" spans="1:13">
      <c r="A84">
        <v>83</v>
      </c>
      <c r="B84" t="s">
        <v>51</v>
      </c>
      <c r="C84" t="s">
        <v>29</v>
      </c>
      <c r="D84" t="s">
        <v>26</v>
      </c>
      <c r="E84" t="s">
        <v>40</v>
      </c>
      <c r="F84" t="s">
        <v>72</v>
      </c>
      <c r="G84" s="3" t="s">
        <v>200</v>
      </c>
      <c r="H84" s="2" t="s">
        <v>202</v>
      </c>
      <c r="I84" t="s">
        <v>32</v>
      </c>
      <c r="M84" t="s">
        <v>67</v>
      </c>
    </row>
    <row r="85" spans="1:13">
      <c r="A85">
        <v>84</v>
      </c>
      <c r="B85" t="s">
        <v>51</v>
      </c>
      <c r="C85" t="s">
        <v>74</v>
      </c>
      <c r="D85" t="s">
        <v>26</v>
      </c>
      <c r="E85" t="s">
        <v>39</v>
      </c>
      <c r="F85" t="s">
        <v>38</v>
      </c>
      <c r="G85" s="3" t="s">
        <v>201</v>
      </c>
      <c r="H85" s="2" t="s">
        <v>200</v>
      </c>
      <c r="J85" t="s">
        <v>6</v>
      </c>
      <c r="K85" t="s">
        <v>70</v>
      </c>
    </row>
    <row r="86" spans="1:13">
      <c r="A86">
        <v>85</v>
      </c>
      <c r="B86" t="s">
        <v>54</v>
      </c>
      <c r="C86" t="s">
        <v>69</v>
      </c>
      <c r="D86" t="s">
        <v>7</v>
      </c>
      <c r="E86" t="s">
        <v>40</v>
      </c>
      <c r="F86" t="s">
        <v>38</v>
      </c>
      <c r="G86" s="1" t="s">
        <v>201</v>
      </c>
      <c r="H86" s="3" t="s">
        <v>200</v>
      </c>
      <c r="M86" t="s">
        <v>67</v>
      </c>
    </row>
    <row r="87" spans="1:13">
      <c r="A87">
        <v>86</v>
      </c>
      <c r="B87" t="s">
        <v>54</v>
      </c>
      <c r="C87" t="s">
        <v>19</v>
      </c>
      <c r="D87" t="s">
        <v>7</v>
      </c>
      <c r="E87" t="s">
        <v>39</v>
      </c>
      <c r="F87" t="s">
        <v>72</v>
      </c>
      <c r="G87" s="4" t="s">
        <v>203</v>
      </c>
      <c r="H87" s="2" t="s">
        <v>202</v>
      </c>
      <c r="J87" t="s">
        <v>51</v>
      </c>
    </row>
    <row r="88" spans="1:13">
      <c r="A88">
        <v>87</v>
      </c>
      <c r="B88" t="s">
        <v>54</v>
      </c>
      <c r="C88" t="s">
        <v>25</v>
      </c>
      <c r="D88" t="s">
        <v>26</v>
      </c>
      <c r="E88" t="s">
        <v>40</v>
      </c>
      <c r="F88" t="s">
        <v>38</v>
      </c>
      <c r="G88" s="3" t="s">
        <v>200</v>
      </c>
      <c r="H88" s="3" t="s">
        <v>200</v>
      </c>
      <c r="I88" t="s">
        <v>28</v>
      </c>
      <c r="M88" t="s">
        <v>42</v>
      </c>
    </row>
    <row r="89" spans="1:13">
      <c r="A89">
        <v>88</v>
      </c>
      <c r="B89" t="s">
        <v>54</v>
      </c>
      <c r="C89" t="s">
        <v>29</v>
      </c>
      <c r="D89" t="s">
        <v>26</v>
      </c>
      <c r="J89" t="s">
        <v>67</v>
      </c>
      <c r="K89" t="s">
        <v>62</v>
      </c>
    </row>
    <row r="90" spans="1:13">
      <c r="A90">
        <v>89</v>
      </c>
      <c r="B90" t="s">
        <v>54</v>
      </c>
      <c r="C90" t="s">
        <v>74</v>
      </c>
      <c r="D90" t="s">
        <v>7</v>
      </c>
      <c r="E90" t="s">
        <v>40</v>
      </c>
      <c r="F90" t="s">
        <v>72</v>
      </c>
      <c r="G90" t="s">
        <v>202</v>
      </c>
      <c r="H90" t="s">
        <v>202</v>
      </c>
      <c r="M90" t="s">
        <v>46</v>
      </c>
    </row>
    <row r="91" spans="1:13">
      <c r="A91">
        <v>90</v>
      </c>
      <c r="B91" t="s">
        <v>31</v>
      </c>
      <c r="C91" t="s">
        <v>69</v>
      </c>
      <c r="D91" t="s">
        <v>7</v>
      </c>
      <c r="E91" t="s">
        <v>40</v>
      </c>
      <c r="F91" t="s">
        <v>72</v>
      </c>
      <c r="G91" s="3" t="s">
        <v>200</v>
      </c>
      <c r="H91" s="2" t="s">
        <v>202</v>
      </c>
      <c r="J91" t="s">
        <v>46</v>
      </c>
    </row>
    <row r="92" spans="1:13">
      <c r="A92">
        <v>91</v>
      </c>
      <c r="B92" t="s">
        <v>31</v>
      </c>
      <c r="C92" t="s">
        <v>19</v>
      </c>
      <c r="D92" t="s">
        <v>7</v>
      </c>
      <c r="E92" t="s">
        <v>39</v>
      </c>
      <c r="F92" t="s">
        <v>7</v>
      </c>
      <c r="G92" s="2" t="s">
        <v>202</v>
      </c>
      <c r="H92" s="1" t="s">
        <v>201</v>
      </c>
      <c r="J92" t="s">
        <v>45</v>
      </c>
    </row>
    <row r="93" spans="1:13">
      <c r="A93">
        <v>92</v>
      </c>
      <c r="B93" t="s">
        <v>31</v>
      </c>
      <c r="C93" t="s">
        <v>25</v>
      </c>
      <c r="D93" t="s">
        <v>26</v>
      </c>
      <c r="E93" t="s">
        <v>38</v>
      </c>
      <c r="F93" t="s">
        <v>7</v>
      </c>
      <c r="G93" s="1" t="s">
        <v>201</v>
      </c>
      <c r="H93" s="1" t="s">
        <v>201</v>
      </c>
      <c r="J93" t="s">
        <v>46</v>
      </c>
      <c r="K93" t="s">
        <v>30</v>
      </c>
    </row>
    <row r="94" spans="1:13">
      <c r="A94">
        <v>93</v>
      </c>
      <c r="B94" t="s">
        <v>31</v>
      </c>
      <c r="C94" t="s">
        <v>29</v>
      </c>
      <c r="D94" t="s">
        <v>26</v>
      </c>
      <c r="E94" t="s">
        <v>40</v>
      </c>
      <c r="F94" t="s">
        <v>72</v>
      </c>
      <c r="G94" s="2" t="s">
        <v>202</v>
      </c>
      <c r="H94" s="3" t="s">
        <v>200</v>
      </c>
      <c r="I94" t="s">
        <v>48</v>
      </c>
      <c r="M94" t="s">
        <v>67</v>
      </c>
    </row>
    <row r="95" spans="1:13">
      <c r="A95">
        <v>94</v>
      </c>
      <c r="B95" t="s">
        <v>46</v>
      </c>
      <c r="C95" t="s">
        <v>69</v>
      </c>
      <c r="D95" t="s">
        <v>7</v>
      </c>
      <c r="E95" t="s">
        <v>39</v>
      </c>
      <c r="F95" t="s">
        <v>7</v>
      </c>
      <c r="G95" s="1" t="s">
        <v>201</v>
      </c>
      <c r="H95" s="1" t="s">
        <v>201</v>
      </c>
      <c r="J95" t="s">
        <v>31</v>
      </c>
    </row>
    <row r="96" spans="1:13">
      <c r="A96">
        <v>95</v>
      </c>
      <c r="B96" t="s">
        <v>46</v>
      </c>
      <c r="C96" t="s">
        <v>19</v>
      </c>
      <c r="D96" t="s">
        <v>7</v>
      </c>
      <c r="E96" t="s">
        <v>38</v>
      </c>
      <c r="F96" t="s">
        <v>72</v>
      </c>
      <c r="G96" s="2" t="s">
        <v>202</v>
      </c>
      <c r="H96" s="4" t="s">
        <v>203</v>
      </c>
      <c r="M96" t="s">
        <v>62</v>
      </c>
    </row>
    <row r="97" spans="1:13">
      <c r="A97">
        <v>96</v>
      </c>
      <c r="B97" t="s">
        <v>46</v>
      </c>
      <c r="C97" t="s">
        <v>25</v>
      </c>
      <c r="D97" t="s">
        <v>26</v>
      </c>
      <c r="E97" t="s">
        <v>39</v>
      </c>
      <c r="F97" t="s">
        <v>72</v>
      </c>
      <c r="G97" s="2" t="s">
        <v>202</v>
      </c>
      <c r="H97" s="3" t="s">
        <v>200</v>
      </c>
      <c r="J97" t="s">
        <v>32</v>
      </c>
      <c r="K97" t="s">
        <v>50</v>
      </c>
    </row>
    <row r="98" spans="1:13">
      <c r="A98">
        <v>97</v>
      </c>
      <c r="B98" t="s">
        <v>46</v>
      </c>
      <c r="C98" t="s">
        <v>29</v>
      </c>
      <c r="D98" t="s">
        <v>26</v>
      </c>
      <c r="E98" t="s">
        <v>38</v>
      </c>
      <c r="F98" t="s">
        <v>38</v>
      </c>
      <c r="G98" s="3" t="s">
        <v>200</v>
      </c>
      <c r="H98" s="1" t="s">
        <v>201</v>
      </c>
      <c r="I98" t="s">
        <v>51</v>
      </c>
      <c r="M98" t="s">
        <v>31</v>
      </c>
    </row>
    <row r="99" spans="1:13">
      <c r="A99">
        <v>98</v>
      </c>
      <c r="B99" t="s">
        <v>56</v>
      </c>
      <c r="C99" t="s">
        <v>69</v>
      </c>
      <c r="D99" t="s">
        <v>7</v>
      </c>
      <c r="E99" t="s">
        <v>39</v>
      </c>
      <c r="F99" t="s">
        <v>72</v>
      </c>
      <c r="G99" s="2" t="s">
        <v>202</v>
      </c>
      <c r="H99" s="3" t="s">
        <v>200</v>
      </c>
      <c r="J99" t="s">
        <v>45</v>
      </c>
    </row>
    <row r="100" spans="1:13">
      <c r="A100">
        <v>99</v>
      </c>
      <c r="B100" t="s">
        <v>56</v>
      </c>
      <c r="C100" t="s">
        <v>19</v>
      </c>
      <c r="D100" t="s">
        <v>7</v>
      </c>
      <c r="M100" t="s">
        <v>30</v>
      </c>
    </row>
    <row r="101" spans="1:13">
      <c r="A101">
        <v>100</v>
      </c>
      <c r="B101" t="s">
        <v>56</v>
      </c>
      <c r="C101" t="s">
        <v>25</v>
      </c>
      <c r="D101" t="s">
        <v>26</v>
      </c>
      <c r="J101" t="s">
        <v>21</v>
      </c>
      <c r="K101" t="s">
        <v>70</v>
      </c>
    </row>
    <row r="102" spans="1:13">
      <c r="A102">
        <v>101</v>
      </c>
      <c r="B102" t="s">
        <v>56</v>
      </c>
      <c r="C102" t="s">
        <v>29</v>
      </c>
      <c r="D102" t="s">
        <v>26</v>
      </c>
      <c r="I102" t="s">
        <v>42</v>
      </c>
      <c r="M102" t="s">
        <v>68</v>
      </c>
    </row>
    <row r="103" spans="1:13">
      <c r="A103">
        <v>102</v>
      </c>
      <c r="B103" t="s">
        <v>70</v>
      </c>
      <c r="C103" t="s">
        <v>69</v>
      </c>
      <c r="D103" t="s">
        <v>7</v>
      </c>
      <c r="E103" t="s">
        <v>40</v>
      </c>
      <c r="F103" t="s">
        <v>7</v>
      </c>
      <c r="G103" s="1" t="s">
        <v>201</v>
      </c>
      <c r="H103" s="2" t="s">
        <v>202</v>
      </c>
      <c r="M103" t="s">
        <v>68</v>
      </c>
    </row>
    <row r="104" spans="1:13">
      <c r="A104">
        <v>103</v>
      </c>
      <c r="B104" t="s">
        <v>70</v>
      </c>
      <c r="C104" t="s">
        <v>19</v>
      </c>
      <c r="D104" t="s">
        <v>7</v>
      </c>
      <c r="E104" t="s">
        <v>39</v>
      </c>
      <c r="F104" t="s">
        <v>72</v>
      </c>
      <c r="G104" s="2" t="s">
        <v>202</v>
      </c>
      <c r="H104" s="3" t="s">
        <v>200</v>
      </c>
      <c r="J104" t="s">
        <v>67</v>
      </c>
    </row>
    <row r="105" spans="1:13">
      <c r="A105">
        <v>104</v>
      </c>
      <c r="B105" t="s">
        <v>70</v>
      </c>
      <c r="C105" t="s">
        <v>25</v>
      </c>
      <c r="D105" t="s">
        <v>26</v>
      </c>
      <c r="J105" t="s">
        <v>48</v>
      </c>
      <c r="K105" t="s">
        <v>56</v>
      </c>
    </row>
    <row r="106" spans="1:13">
      <c r="A106">
        <v>105</v>
      </c>
      <c r="B106" t="s">
        <v>70</v>
      </c>
      <c r="C106" t="s">
        <v>29</v>
      </c>
      <c r="D106" t="s">
        <v>26</v>
      </c>
      <c r="E106" t="s">
        <v>38</v>
      </c>
      <c r="F106" t="s">
        <v>38</v>
      </c>
      <c r="G106" s="1" t="s">
        <v>201</v>
      </c>
      <c r="H106" s="3" t="s">
        <v>200</v>
      </c>
      <c r="I106" t="s">
        <v>28</v>
      </c>
      <c r="M106" t="s">
        <v>71</v>
      </c>
    </row>
    <row r="107" spans="1:13">
      <c r="A107">
        <v>106</v>
      </c>
      <c r="B107" t="s">
        <v>68</v>
      </c>
      <c r="C107" t="s">
        <v>69</v>
      </c>
      <c r="D107" t="s">
        <v>7</v>
      </c>
      <c r="E107" t="s">
        <v>39</v>
      </c>
      <c r="F107" t="s">
        <v>7</v>
      </c>
      <c r="G107" s="1" t="s">
        <v>201</v>
      </c>
      <c r="H107" s="2" t="s">
        <v>202</v>
      </c>
      <c r="M107" t="s">
        <v>32</v>
      </c>
    </row>
    <row r="108" spans="1:13">
      <c r="A108">
        <v>107</v>
      </c>
      <c r="B108" t="s">
        <v>68</v>
      </c>
      <c r="C108" t="s">
        <v>19</v>
      </c>
      <c r="D108" t="s">
        <v>7</v>
      </c>
      <c r="E108" t="s">
        <v>38</v>
      </c>
      <c r="F108" t="s">
        <v>38</v>
      </c>
      <c r="G108" s="3" t="s">
        <v>200</v>
      </c>
      <c r="H108" s="3" t="s">
        <v>200</v>
      </c>
      <c r="J108" t="s">
        <v>49</v>
      </c>
    </row>
    <row r="109" spans="1:13">
      <c r="A109">
        <v>108</v>
      </c>
      <c r="B109" t="s">
        <v>68</v>
      </c>
      <c r="C109" t="s">
        <v>25</v>
      </c>
      <c r="D109" t="s">
        <v>26</v>
      </c>
      <c r="E109" t="s">
        <v>40</v>
      </c>
      <c r="F109" t="s">
        <v>7</v>
      </c>
      <c r="G109" s="2" t="s">
        <v>202</v>
      </c>
      <c r="H109" s="1" t="s">
        <v>201</v>
      </c>
      <c r="J109" t="s">
        <v>53</v>
      </c>
      <c r="K109" t="s">
        <v>71</v>
      </c>
    </row>
    <row r="110" spans="1:13">
      <c r="A110">
        <v>109</v>
      </c>
      <c r="B110" t="s">
        <v>68</v>
      </c>
      <c r="C110" t="s">
        <v>29</v>
      </c>
      <c r="D110" t="s">
        <v>26</v>
      </c>
      <c r="E110" t="s">
        <v>40</v>
      </c>
      <c r="F110" t="s">
        <v>72</v>
      </c>
      <c r="G110" s="2" t="s">
        <v>202</v>
      </c>
      <c r="H110" s="3" t="s">
        <v>200</v>
      </c>
      <c r="I110" t="s">
        <v>28</v>
      </c>
      <c r="M110" t="s">
        <v>56</v>
      </c>
    </row>
    <row r="111" spans="1:13">
      <c r="A111">
        <v>110</v>
      </c>
      <c r="B111" t="s">
        <v>71</v>
      </c>
      <c r="C111" t="s">
        <v>69</v>
      </c>
      <c r="D111" t="s">
        <v>7</v>
      </c>
      <c r="E111" t="s">
        <v>38</v>
      </c>
      <c r="F111" t="s">
        <v>72</v>
      </c>
      <c r="G111" s="2" t="s">
        <v>202</v>
      </c>
      <c r="H111" s="3" t="s">
        <v>200</v>
      </c>
      <c r="J111" t="s">
        <v>56</v>
      </c>
    </row>
    <row r="112" spans="1:13">
      <c r="A112">
        <v>111</v>
      </c>
      <c r="B112" t="s">
        <v>71</v>
      </c>
      <c r="C112" t="s">
        <v>19</v>
      </c>
      <c r="D112" t="s">
        <v>7</v>
      </c>
      <c r="E112" t="s">
        <v>40</v>
      </c>
      <c r="F112" t="s">
        <v>38</v>
      </c>
      <c r="G112" s="2" t="s">
        <v>200</v>
      </c>
      <c r="H112" s="3" t="s">
        <v>201</v>
      </c>
      <c r="M112" t="s">
        <v>54</v>
      </c>
    </row>
    <row r="113" spans="1:13">
      <c r="A113">
        <v>112</v>
      </c>
      <c r="B113" t="s">
        <v>71</v>
      </c>
      <c r="C113" t="s">
        <v>25</v>
      </c>
      <c r="D113" t="s">
        <v>26</v>
      </c>
      <c r="I113" t="s">
        <v>68</v>
      </c>
      <c r="M113" t="s">
        <v>11</v>
      </c>
    </row>
    <row r="114" spans="1:13">
      <c r="A114">
        <v>113</v>
      </c>
      <c r="B114" t="s">
        <v>71</v>
      </c>
      <c r="C114" t="s">
        <v>29</v>
      </c>
      <c r="D114" t="s">
        <v>26</v>
      </c>
      <c r="E114" t="s">
        <v>39</v>
      </c>
      <c r="F114" t="s">
        <v>72</v>
      </c>
      <c r="G114" s="3" t="s">
        <v>200</v>
      </c>
      <c r="H114" s="2" t="s">
        <v>202</v>
      </c>
      <c r="J114" t="s">
        <v>70</v>
      </c>
      <c r="K114" t="s">
        <v>30</v>
      </c>
    </row>
  </sheetData>
  <autoFilter ref="B1:K114" xr:uid="{5B24CCCE-C05F-5A43-BBF5-FB11CD2495B0}"/>
  <phoneticPr fontId="1"/>
  <conditionalFormatting sqref="G1:H1048576 I1 I34 K34:M34 I40 K40:M40 I46 K46:M46 K52:L52 L1:M1 I58 K58 I64 K64 K69 I75 K75 I7 M47">
    <cfRule type="containsText" dxfId="3" priority="1" operator="containsText" text="無">
      <formula>NOT(ISERROR(SEARCH("無",G1)))</formula>
    </cfRule>
    <cfRule type="containsText" dxfId="2" priority="4" operator="containsText" text="水">
      <formula>NOT(ISERROR(SEARCH("水",G1)))</formula>
    </cfRule>
    <cfRule type="containsText" dxfId="1" priority="6" operator="containsText" text="木">
      <formula>NOT(ISERROR(SEARCH("木",G1)))</formula>
    </cfRule>
    <cfRule type="containsText" dxfId="0" priority="8" operator="containsText" text="火">
      <formula>NOT(ISERROR(SEARCH("火",G1)))</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217F5A-AF4B-2048-9FC3-6C861B993E69}">
  <sheetPr codeName="Sheet6"/>
  <dimension ref="A1:N115"/>
  <sheetViews>
    <sheetView topLeftCell="A32" workbookViewId="0">
      <selection activeCell="B36" sqref="B36"/>
    </sheetView>
  </sheetViews>
  <sheetFormatPr baseColWidth="10" defaultRowHeight="20"/>
  <cols>
    <col min="1" max="16384" width="10.7109375" style="19"/>
  </cols>
  <sheetData>
    <row r="1" spans="1:14" ht="21">
      <c r="C1" s="19" t="s">
        <v>111</v>
      </c>
      <c r="I1" s="19" t="s">
        <v>130</v>
      </c>
    </row>
    <row r="2" spans="1:14" ht="21">
      <c r="A2" s="19" t="s">
        <v>0</v>
      </c>
      <c r="B2" s="19" t="s">
        <v>8</v>
      </c>
      <c r="C2" s="19" t="s">
        <v>204</v>
      </c>
      <c r="D2" s="19" t="s">
        <v>206</v>
      </c>
      <c r="E2" s="19" t="s">
        <v>205</v>
      </c>
      <c r="F2" s="19" t="s">
        <v>207</v>
      </c>
      <c r="G2" s="19" t="s">
        <v>208</v>
      </c>
      <c r="H2" s="19" t="s">
        <v>209</v>
      </c>
      <c r="I2" s="19" t="s">
        <v>210</v>
      </c>
      <c r="J2" s="19" t="s">
        <v>211</v>
      </c>
      <c r="K2" s="19" t="s">
        <v>212</v>
      </c>
      <c r="L2" s="19" t="s">
        <v>213</v>
      </c>
      <c r="M2" s="19" t="s">
        <v>214</v>
      </c>
      <c r="N2" s="19" t="s">
        <v>215</v>
      </c>
    </row>
    <row r="3" spans="1:14" ht="42">
      <c r="A3" s="19" t="s">
        <v>109</v>
      </c>
      <c r="B3" s="19" t="s">
        <v>122</v>
      </c>
      <c r="C3" s="19" t="s">
        <v>179</v>
      </c>
      <c r="E3" s="19" t="s">
        <v>179</v>
      </c>
      <c r="F3" s="19" t="s">
        <v>174</v>
      </c>
      <c r="G3" s="19" t="s">
        <v>179</v>
      </c>
      <c r="H3" s="19" t="s">
        <v>174</v>
      </c>
      <c r="I3" s="19" t="s">
        <v>151</v>
      </c>
      <c r="K3" s="19" t="s">
        <v>151</v>
      </c>
      <c r="M3" s="19" t="s">
        <v>151</v>
      </c>
    </row>
    <row r="4" spans="1:14" ht="42">
      <c r="A4" s="19" t="s">
        <v>109</v>
      </c>
      <c r="B4" s="19" t="s">
        <v>196</v>
      </c>
      <c r="C4" s="19" t="s">
        <v>183</v>
      </c>
      <c r="D4" s="19" t="s">
        <v>134</v>
      </c>
      <c r="E4" s="19" t="s">
        <v>183</v>
      </c>
      <c r="F4" s="19" t="s">
        <v>174</v>
      </c>
      <c r="G4" s="19" t="s">
        <v>183</v>
      </c>
      <c r="H4" s="19" t="s">
        <v>174</v>
      </c>
      <c r="I4" s="19" t="s">
        <v>139</v>
      </c>
      <c r="K4" s="19" t="s">
        <v>139</v>
      </c>
      <c r="M4" s="19" t="s">
        <v>139</v>
      </c>
    </row>
    <row r="5" spans="1:14" ht="63">
      <c r="A5" s="19" t="s">
        <v>109</v>
      </c>
      <c r="B5" s="19" t="s">
        <v>129</v>
      </c>
      <c r="C5" s="19" t="s">
        <v>146</v>
      </c>
      <c r="D5" s="19" t="s">
        <v>227</v>
      </c>
      <c r="E5" s="19" t="s">
        <v>146</v>
      </c>
      <c r="F5" s="19" t="s">
        <v>227</v>
      </c>
      <c r="G5" s="19" t="s">
        <v>146</v>
      </c>
      <c r="H5" s="19" t="s">
        <v>227</v>
      </c>
      <c r="I5" s="19" t="s">
        <v>151</v>
      </c>
      <c r="K5" s="19" t="s">
        <v>151</v>
      </c>
      <c r="M5" s="19" t="s">
        <v>151</v>
      </c>
    </row>
    <row r="6" spans="1:14" ht="42">
      <c r="A6" s="19" t="s">
        <v>109</v>
      </c>
      <c r="B6" s="19" t="s">
        <v>121</v>
      </c>
      <c r="C6" s="19" t="s">
        <v>179</v>
      </c>
      <c r="D6" s="19" t="s">
        <v>232</v>
      </c>
      <c r="E6" s="19" t="s">
        <v>131</v>
      </c>
      <c r="F6" s="19" t="s">
        <v>216</v>
      </c>
      <c r="G6" s="19" t="s">
        <v>131</v>
      </c>
      <c r="H6" s="19" t="s">
        <v>216</v>
      </c>
      <c r="I6" s="19" t="s">
        <v>139</v>
      </c>
      <c r="K6" s="19" t="s">
        <v>139</v>
      </c>
      <c r="L6" s="19" t="s">
        <v>217</v>
      </c>
      <c r="M6" s="19" t="s">
        <v>139</v>
      </c>
      <c r="N6" s="19" t="s">
        <v>217</v>
      </c>
    </row>
    <row r="7" spans="1:14" ht="105">
      <c r="A7" s="19" t="s">
        <v>109</v>
      </c>
      <c r="B7" s="19" t="s">
        <v>110</v>
      </c>
      <c r="C7" s="19" t="s">
        <v>131</v>
      </c>
      <c r="E7" s="19" t="s">
        <v>131</v>
      </c>
      <c r="G7" s="19" t="s">
        <v>181</v>
      </c>
      <c r="I7" s="19" t="s">
        <v>180</v>
      </c>
      <c r="K7" s="19" t="s">
        <v>180</v>
      </c>
      <c r="L7" s="19" t="s">
        <v>132</v>
      </c>
      <c r="M7" s="19" t="s">
        <v>181</v>
      </c>
      <c r="N7" s="19" t="s">
        <v>133</v>
      </c>
    </row>
    <row r="8" spans="1:14" ht="105">
      <c r="A8" s="19" t="s">
        <v>109</v>
      </c>
      <c r="B8" s="19" t="s">
        <v>74</v>
      </c>
      <c r="C8" s="19" t="s">
        <v>183</v>
      </c>
      <c r="D8" s="19" t="s">
        <v>217</v>
      </c>
      <c r="E8" s="19" t="s">
        <v>183</v>
      </c>
      <c r="F8" s="19" t="s">
        <v>217</v>
      </c>
      <c r="G8" s="19" t="s">
        <v>183</v>
      </c>
      <c r="H8" s="19" t="s">
        <v>216</v>
      </c>
      <c r="I8" s="19" t="s">
        <v>179</v>
      </c>
      <c r="K8" s="19" t="s">
        <v>179</v>
      </c>
      <c r="L8" s="19" t="s">
        <v>194</v>
      </c>
      <c r="M8" s="19" t="s">
        <v>179</v>
      </c>
      <c r="N8" s="19" t="s">
        <v>195</v>
      </c>
    </row>
    <row r="9" spans="1:14" ht="42">
      <c r="A9" s="19" t="s">
        <v>107</v>
      </c>
      <c r="B9" s="19" t="s">
        <v>122</v>
      </c>
      <c r="C9" s="19" t="s">
        <v>183</v>
      </c>
      <c r="D9" s="19" t="s">
        <v>217</v>
      </c>
      <c r="E9" s="19" t="s">
        <v>183</v>
      </c>
      <c r="F9" s="19" t="s">
        <v>174</v>
      </c>
      <c r="G9" s="19" t="s">
        <v>183</v>
      </c>
      <c r="H9" s="19" t="s">
        <v>174</v>
      </c>
      <c r="I9" s="19" t="s">
        <v>131</v>
      </c>
      <c r="K9" s="19" t="s">
        <v>131</v>
      </c>
      <c r="M9" s="19" t="s">
        <v>131</v>
      </c>
    </row>
    <row r="10" spans="1:14" ht="63">
      <c r="A10" s="19" t="s">
        <v>107</v>
      </c>
      <c r="B10" s="19" t="s">
        <v>196</v>
      </c>
      <c r="C10" s="19" t="s">
        <v>185</v>
      </c>
      <c r="D10" s="19" t="s">
        <v>227</v>
      </c>
      <c r="E10" s="19" t="s">
        <v>185</v>
      </c>
      <c r="F10" s="19" t="s">
        <v>174</v>
      </c>
      <c r="G10" s="19" t="s">
        <v>185</v>
      </c>
      <c r="H10" s="19" t="s">
        <v>174</v>
      </c>
      <c r="I10" s="19" t="s">
        <v>143</v>
      </c>
      <c r="K10" s="19" t="s">
        <v>143</v>
      </c>
      <c r="M10" s="19" t="s">
        <v>143</v>
      </c>
    </row>
    <row r="11" spans="1:14" ht="42">
      <c r="A11" s="19" t="s">
        <v>107</v>
      </c>
      <c r="B11" s="19" t="s">
        <v>129</v>
      </c>
      <c r="C11" s="19" t="s">
        <v>138</v>
      </c>
      <c r="D11" s="19" t="s">
        <v>147</v>
      </c>
      <c r="E11" s="19" t="s">
        <v>138</v>
      </c>
      <c r="F11" s="19" t="s">
        <v>148</v>
      </c>
      <c r="G11" s="19" t="s">
        <v>138</v>
      </c>
      <c r="H11" s="19" t="s">
        <v>148</v>
      </c>
      <c r="I11" s="19" t="s">
        <v>139</v>
      </c>
      <c r="K11" s="19" t="s">
        <v>139</v>
      </c>
      <c r="L11" s="19" t="s">
        <v>217</v>
      </c>
      <c r="M11" s="19" t="s">
        <v>139</v>
      </c>
      <c r="N11" s="19" t="s">
        <v>217</v>
      </c>
    </row>
    <row r="12" spans="1:14" ht="42">
      <c r="A12" s="19" t="s">
        <v>107</v>
      </c>
      <c r="B12" s="19" t="s">
        <v>121</v>
      </c>
      <c r="C12" s="19" t="s">
        <v>143</v>
      </c>
      <c r="E12" s="19" t="s">
        <v>143</v>
      </c>
      <c r="G12" s="19" t="s">
        <v>143</v>
      </c>
      <c r="I12" s="19" t="s">
        <v>180</v>
      </c>
      <c r="K12" s="19" t="s">
        <v>181</v>
      </c>
      <c r="M12" s="19" t="s">
        <v>181</v>
      </c>
    </row>
    <row r="13" spans="1:14" ht="105">
      <c r="A13" s="19" t="s">
        <v>107</v>
      </c>
      <c r="B13" s="19" t="s">
        <v>110</v>
      </c>
      <c r="C13" s="19" t="s">
        <v>131</v>
      </c>
      <c r="D13" s="19" t="s">
        <v>233</v>
      </c>
      <c r="E13" s="19" t="s">
        <v>131</v>
      </c>
      <c r="F13" s="19" t="s">
        <v>134</v>
      </c>
      <c r="G13" s="19" t="s">
        <v>131</v>
      </c>
      <c r="H13" s="19" t="s">
        <v>218</v>
      </c>
      <c r="I13" s="19" t="s">
        <v>151</v>
      </c>
      <c r="K13" s="19" t="s">
        <v>151</v>
      </c>
      <c r="L13" s="19" t="s">
        <v>135</v>
      </c>
      <c r="M13" s="19" t="s">
        <v>182</v>
      </c>
      <c r="N13" s="19" t="s">
        <v>136</v>
      </c>
    </row>
    <row r="14" spans="1:14" ht="105">
      <c r="A14" s="19" t="s">
        <v>107</v>
      </c>
      <c r="B14" s="19" t="s">
        <v>74</v>
      </c>
      <c r="C14" s="19" t="s">
        <v>131</v>
      </c>
      <c r="E14" s="19" t="s">
        <v>131</v>
      </c>
      <c r="G14" s="19" t="s">
        <v>181</v>
      </c>
      <c r="I14" s="19" t="s">
        <v>139</v>
      </c>
      <c r="K14" s="19" t="s">
        <v>139</v>
      </c>
      <c r="L14" s="19" t="s">
        <v>159</v>
      </c>
      <c r="M14" s="19" t="s">
        <v>141</v>
      </c>
      <c r="N14" s="19" t="s">
        <v>160</v>
      </c>
    </row>
    <row r="15" spans="1:14" ht="42">
      <c r="A15" s="19" t="s">
        <v>137</v>
      </c>
      <c r="B15" s="19" t="s">
        <v>122</v>
      </c>
      <c r="C15" s="19" t="s">
        <v>179</v>
      </c>
      <c r="D15" s="19" t="s">
        <v>134</v>
      </c>
      <c r="E15" s="19" t="s">
        <v>179</v>
      </c>
      <c r="F15" s="19" t="s">
        <v>174</v>
      </c>
      <c r="G15" s="19" t="s">
        <v>179</v>
      </c>
      <c r="H15" s="19" t="s">
        <v>174</v>
      </c>
      <c r="I15" s="19" t="s">
        <v>151</v>
      </c>
      <c r="K15" s="19" t="s">
        <v>151</v>
      </c>
      <c r="M15" s="19" t="s">
        <v>151</v>
      </c>
    </row>
    <row r="16" spans="1:14" ht="42">
      <c r="A16" s="19" t="s">
        <v>137</v>
      </c>
      <c r="B16" s="19" t="s">
        <v>196</v>
      </c>
      <c r="C16" s="19" t="s">
        <v>185</v>
      </c>
      <c r="E16" s="19" t="s">
        <v>185</v>
      </c>
      <c r="F16" s="19" t="s">
        <v>174</v>
      </c>
      <c r="G16" s="19" t="s">
        <v>185</v>
      </c>
      <c r="H16" s="19" t="s">
        <v>174</v>
      </c>
      <c r="I16" s="19" t="s">
        <v>151</v>
      </c>
      <c r="K16" s="19" t="s">
        <v>151</v>
      </c>
      <c r="M16" s="19" t="s">
        <v>151</v>
      </c>
    </row>
    <row r="17" spans="1:14" ht="42">
      <c r="A17" s="19" t="s">
        <v>137</v>
      </c>
      <c r="B17" s="19" t="s">
        <v>129</v>
      </c>
      <c r="C17" s="19" t="s">
        <v>138</v>
      </c>
      <c r="D17" s="19" t="s">
        <v>197</v>
      </c>
      <c r="E17" s="19" t="s">
        <v>138</v>
      </c>
      <c r="F17" s="19" t="s">
        <v>197</v>
      </c>
      <c r="G17" s="19" t="s">
        <v>138</v>
      </c>
      <c r="H17" s="19" t="s">
        <v>197</v>
      </c>
      <c r="I17" s="19" t="s">
        <v>151</v>
      </c>
      <c r="K17" s="19" t="s">
        <v>151</v>
      </c>
      <c r="M17" s="19" t="s">
        <v>151</v>
      </c>
    </row>
    <row r="18" spans="1:14" ht="42">
      <c r="A18" s="19" t="s">
        <v>137</v>
      </c>
      <c r="B18" s="19" t="s">
        <v>121</v>
      </c>
      <c r="C18" s="19" t="s">
        <v>146</v>
      </c>
      <c r="E18" s="19" t="s">
        <v>146</v>
      </c>
      <c r="G18" s="19" t="s">
        <v>146</v>
      </c>
      <c r="I18" s="19" t="s">
        <v>180</v>
      </c>
      <c r="K18" s="19" t="s">
        <v>181</v>
      </c>
      <c r="M18" s="19" t="s">
        <v>181</v>
      </c>
    </row>
    <row r="19" spans="1:14" ht="105">
      <c r="A19" s="19" t="s">
        <v>137</v>
      </c>
      <c r="B19" s="19" t="s">
        <v>110</v>
      </c>
      <c r="C19" s="19" t="s">
        <v>138</v>
      </c>
      <c r="D19" s="19" t="s">
        <v>134</v>
      </c>
      <c r="E19" s="19" t="s">
        <v>138</v>
      </c>
      <c r="F19" s="19" t="s">
        <v>218</v>
      </c>
      <c r="G19" s="19" t="s">
        <v>138</v>
      </c>
      <c r="H19" s="19" t="s">
        <v>219</v>
      </c>
      <c r="I19" s="19" t="s">
        <v>139</v>
      </c>
      <c r="K19" s="19" t="s">
        <v>139</v>
      </c>
      <c r="L19" s="19" t="s">
        <v>140</v>
      </c>
      <c r="M19" s="19" t="s">
        <v>141</v>
      </c>
      <c r="N19" s="19" t="s">
        <v>142</v>
      </c>
    </row>
    <row r="20" spans="1:14" ht="63">
      <c r="A20" s="19" t="s">
        <v>127</v>
      </c>
      <c r="B20" s="19" t="s">
        <v>122</v>
      </c>
      <c r="C20" s="19" t="s">
        <v>183</v>
      </c>
      <c r="D20" s="19" t="s">
        <v>227</v>
      </c>
      <c r="E20" s="19" t="s">
        <v>183</v>
      </c>
      <c r="F20" s="19" t="s">
        <v>174</v>
      </c>
      <c r="G20" s="19" t="s">
        <v>183</v>
      </c>
      <c r="H20" s="19" t="s">
        <v>174</v>
      </c>
      <c r="I20" s="19" t="s">
        <v>131</v>
      </c>
      <c r="K20" s="19" t="s">
        <v>131</v>
      </c>
      <c r="M20" s="19" t="s">
        <v>131</v>
      </c>
    </row>
    <row r="21" spans="1:14" ht="42">
      <c r="A21" s="19" t="s">
        <v>127</v>
      </c>
      <c r="B21" s="19" t="s">
        <v>196</v>
      </c>
      <c r="C21" s="19" t="s">
        <v>185</v>
      </c>
      <c r="E21" s="19" t="s">
        <v>185</v>
      </c>
      <c r="F21" s="19" t="s">
        <v>174</v>
      </c>
      <c r="G21" s="19" t="s">
        <v>185</v>
      </c>
      <c r="H21" s="19" t="s">
        <v>174</v>
      </c>
      <c r="I21" s="19" t="s">
        <v>180</v>
      </c>
      <c r="K21" s="19" t="s">
        <v>180</v>
      </c>
      <c r="M21" s="19" t="s">
        <v>180</v>
      </c>
    </row>
    <row r="22" spans="1:14" ht="63">
      <c r="A22" s="19" t="s">
        <v>127</v>
      </c>
      <c r="B22" s="19" t="s">
        <v>129</v>
      </c>
      <c r="C22" s="19" t="s">
        <v>146</v>
      </c>
      <c r="E22" s="19" t="s">
        <v>146</v>
      </c>
      <c r="G22" s="19" t="s">
        <v>146</v>
      </c>
      <c r="I22" s="19" t="s">
        <v>151</v>
      </c>
      <c r="K22" s="19" t="s">
        <v>182</v>
      </c>
      <c r="M22" s="19" t="s">
        <v>182</v>
      </c>
    </row>
    <row r="23" spans="1:14" ht="42">
      <c r="A23" s="19" t="s">
        <v>127</v>
      </c>
      <c r="B23" s="19" t="s">
        <v>121</v>
      </c>
      <c r="C23" s="19" t="s">
        <v>131</v>
      </c>
      <c r="D23" s="19" t="s">
        <v>134</v>
      </c>
      <c r="E23" s="19" t="s">
        <v>131</v>
      </c>
      <c r="F23" s="19" t="s">
        <v>134</v>
      </c>
      <c r="G23" s="19" t="s">
        <v>131</v>
      </c>
      <c r="H23" s="19" t="s">
        <v>134</v>
      </c>
      <c r="I23" s="19" t="s">
        <v>151</v>
      </c>
      <c r="K23" s="19" t="s">
        <v>151</v>
      </c>
      <c r="M23" s="19" t="s">
        <v>151</v>
      </c>
    </row>
    <row r="24" spans="1:14" ht="84">
      <c r="A24" s="19" t="s">
        <v>127</v>
      </c>
      <c r="B24" s="19" t="s">
        <v>110</v>
      </c>
      <c r="C24" s="19" t="s">
        <v>143</v>
      </c>
      <c r="D24" s="19" t="s">
        <v>197</v>
      </c>
      <c r="E24" s="19" t="s">
        <v>143</v>
      </c>
      <c r="F24" s="19" t="s">
        <v>228</v>
      </c>
      <c r="G24" s="19" t="s">
        <v>143</v>
      </c>
      <c r="H24" s="19" t="s">
        <v>229</v>
      </c>
      <c r="I24" s="19" t="s">
        <v>180</v>
      </c>
      <c r="K24" s="19" t="s">
        <v>180</v>
      </c>
      <c r="L24" s="19" t="s">
        <v>144</v>
      </c>
      <c r="M24" s="19" t="s">
        <v>181</v>
      </c>
      <c r="N24" s="19" t="s">
        <v>145</v>
      </c>
    </row>
    <row r="25" spans="1:14" ht="42">
      <c r="A25" s="19" t="s">
        <v>127</v>
      </c>
      <c r="B25" s="19" t="s">
        <v>173</v>
      </c>
      <c r="C25" s="19" t="s">
        <v>179</v>
      </c>
      <c r="D25" s="19" t="s">
        <v>197</v>
      </c>
      <c r="E25" s="19" t="s">
        <v>179</v>
      </c>
      <c r="F25" s="19" t="s">
        <v>174</v>
      </c>
      <c r="G25" s="19" t="s">
        <v>179</v>
      </c>
      <c r="H25" s="19" t="s">
        <v>174</v>
      </c>
      <c r="I25" s="19" t="s">
        <v>139</v>
      </c>
      <c r="K25" s="19" t="s">
        <v>139</v>
      </c>
      <c r="M25" s="19" t="s">
        <v>139</v>
      </c>
    </row>
    <row r="26" spans="1:14" ht="42">
      <c r="A26" s="19" t="s">
        <v>123</v>
      </c>
      <c r="B26" s="19" t="s">
        <v>122</v>
      </c>
      <c r="C26" s="19" t="s">
        <v>183</v>
      </c>
      <c r="D26" s="19" t="s">
        <v>134</v>
      </c>
      <c r="E26" s="19" t="s">
        <v>183</v>
      </c>
      <c r="F26" s="19" t="s">
        <v>218</v>
      </c>
      <c r="G26" s="19" t="s">
        <v>183</v>
      </c>
      <c r="H26" s="19" t="s">
        <v>218</v>
      </c>
      <c r="I26" s="19" t="s">
        <v>180</v>
      </c>
      <c r="K26" s="19" t="s">
        <v>180</v>
      </c>
      <c r="M26" s="19" t="s">
        <v>180</v>
      </c>
    </row>
    <row r="27" spans="1:14" ht="42">
      <c r="A27" s="19" t="s">
        <v>123</v>
      </c>
      <c r="B27" s="19" t="s">
        <v>196</v>
      </c>
      <c r="C27" s="19" t="s">
        <v>179</v>
      </c>
      <c r="D27" s="19" t="s">
        <v>197</v>
      </c>
      <c r="E27" s="19" t="s">
        <v>179</v>
      </c>
      <c r="F27" s="19" t="s">
        <v>174</v>
      </c>
      <c r="G27" s="19" t="s">
        <v>179</v>
      </c>
      <c r="H27" s="19" t="s">
        <v>174</v>
      </c>
      <c r="I27" s="19" t="s">
        <v>139</v>
      </c>
      <c r="K27" s="19" t="s">
        <v>139</v>
      </c>
      <c r="M27" s="19" t="s">
        <v>139</v>
      </c>
    </row>
    <row r="28" spans="1:14" ht="42">
      <c r="A28" s="19" t="s">
        <v>123</v>
      </c>
      <c r="B28" s="19" t="s">
        <v>129</v>
      </c>
      <c r="C28" s="19" t="s">
        <v>146</v>
      </c>
      <c r="E28" s="19" t="s">
        <v>146</v>
      </c>
      <c r="G28" s="19" t="s">
        <v>146</v>
      </c>
      <c r="I28" s="19" t="s">
        <v>180</v>
      </c>
      <c r="K28" s="19" t="s">
        <v>180</v>
      </c>
      <c r="M28" s="19" t="s">
        <v>181</v>
      </c>
    </row>
    <row r="29" spans="1:14" ht="42">
      <c r="A29" s="19" t="s">
        <v>123</v>
      </c>
      <c r="B29" s="19" t="s">
        <v>121</v>
      </c>
      <c r="C29" s="19" t="s">
        <v>183</v>
      </c>
      <c r="D29" s="19" t="s">
        <v>218</v>
      </c>
      <c r="E29" s="19" t="s">
        <v>143</v>
      </c>
      <c r="F29" s="19" t="s">
        <v>220</v>
      </c>
      <c r="G29" s="19" t="s">
        <v>143</v>
      </c>
      <c r="H29" s="19" t="s">
        <v>220</v>
      </c>
      <c r="I29" s="19" t="s">
        <v>184</v>
      </c>
      <c r="K29" s="19" t="s">
        <v>184</v>
      </c>
      <c r="L29" s="19" t="s">
        <v>221</v>
      </c>
      <c r="M29" s="19" t="s">
        <v>184</v>
      </c>
      <c r="N29" s="19" t="s">
        <v>221</v>
      </c>
    </row>
    <row r="30" spans="1:14" ht="105">
      <c r="A30" s="19" t="s">
        <v>123</v>
      </c>
      <c r="B30" s="19" t="s">
        <v>110</v>
      </c>
      <c r="C30" s="19" t="s">
        <v>146</v>
      </c>
      <c r="D30" s="19" t="s">
        <v>147</v>
      </c>
      <c r="E30" s="19" t="s">
        <v>146</v>
      </c>
      <c r="F30" s="19" t="s">
        <v>148</v>
      </c>
      <c r="G30" s="19" t="s">
        <v>146</v>
      </c>
      <c r="H30" s="19" t="s">
        <v>148</v>
      </c>
      <c r="I30" s="19" t="s">
        <v>151</v>
      </c>
      <c r="K30" s="19" t="s">
        <v>151</v>
      </c>
      <c r="L30" s="19" t="s">
        <v>149</v>
      </c>
      <c r="M30" s="19" t="s">
        <v>182</v>
      </c>
      <c r="N30" s="19" t="s">
        <v>150</v>
      </c>
    </row>
    <row r="31" spans="1:14" ht="42">
      <c r="A31" s="19" t="s">
        <v>118</v>
      </c>
      <c r="B31" s="19" t="s">
        <v>122</v>
      </c>
      <c r="C31" s="19" t="s">
        <v>183</v>
      </c>
      <c r="E31" s="19" t="s">
        <v>183</v>
      </c>
      <c r="F31" s="19" t="s">
        <v>174</v>
      </c>
      <c r="G31" s="19" t="s">
        <v>183</v>
      </c>
      <c r="H31" s="19" t="s">
        <v>174</v>
      </c>
      <c r="I31" s="19" t="s">
        <v>180</v>
      </c>
      <c r="K31" s="19" t="s">
        <v>180</v>
      </c>
      <c r="M31" s="19" t="s">
        <v>180</v>
      </c>
    </row>
    <row r="32" spans="1:14" ht="42">
      <c r="A32" s="19" t="s">
        <v>118</v>
      </c>
      <c r="B32" s="19" t="s">
        <v>196</v>
      </c>
      <c r="C32" s="19" t="s">
        <v>179</v>
      </c>
      <c r="D32" s="19" t="s">
        <v>217</v>
      </c>
      <c r="E32" s="19" t="s">
        <v>179</v>
      </c>
      <c r="F32" s="19" t="s">
        <v>174</v>
      </c>
      <c r="G32" s="19" t="s">
        <v>179</v>
      </c>
      <c r="H32" s="19" t="s">
        <v>174</v>
      </c>
      <c r="I32" s="19" t="s">
        <v>146</v>
      </c>
      <c r="K32" s="19" t="s">
        <v>146</v>
      </c>
      <c r="M32" s="19" t="s">
        <v>146</v>
      </c>
    </row>
    <row r="33" spans="1:14" ht="63">
      <c r="A33" s="19" t="s">
        <v>118</v>
      </c>
      <c r="B33" s="19" t="s">
        <v>129</v>
      </c>
      <c r="C33" s="19" t="s">
        <v>185</v>
      </c>
      <c r="D33" s="19" t="s">
        <v>222</v>
      </c>
      <c r="E33" s="19" t="s">
        <v>185</v>
      </c>
      <c r="F33" s="19" t="s">
        <v>222</v>
      </c>
      <c r="G33" s="19" t="s">
        <v>185</v>
      </c>
      <c r="H33" s="19" t="s">
        <v>222</v>
      </c>
      <c r="I33" s="19" t="s">
        <v>180</v>
      </c>
      <c r="K33" s="19" t="s">
        <v>180</v>
      </c>
      <c r="L33" s="19" t="s">
        <v>227</v>
      </c>
      <c r="M33" s="19" t="s">
        <v>180</v>
      </c>
      <c r="N33" s="19" t="s">
        <v>227</v>
      </c>
    </row>
    <row r="34" spans="1:14" ht="42">
      <c r="A34" s="19" t="s">
        <v>118</v>
      </c>
      <c r="B34" s="19" t="s">
        <v>121</v>
      </c>
      <c r="C34" s="19" t="s">
        <v>143</v>
      </c>
      <c r="D34" s="19" t="s">
        <v>217</v>
      </c>
      <c r="E34" s="19" t="s">
        <v>143</v>
      </c>
      <c r="F34" s="19" t="s">
        <v>217</v>
      </c>
      <c r="G34" s="19" t="s">
        <v>143</v>
      </c>
      <c r="H34" s="19" t="s">
        <v>217</v>
      </c>
      <c r="I34" s="19" t="s">
        <v>139</v>
      </c>
      <c r="K34" s="19" t="s">
        <v>139</v>
      </c>
      <c r="M34" s="19" t="s">
        <v>139</v>
      </c>
    </row>
    <row r="35" spans="1:14" ht="105">
      <c r="A35" s="19" t="s">
        <v>118</v>
      </c>
      <c r="B35" s="19" t="s">
        <v>110</v>
      </c>
      <c r="C35" s="19" t="s">
        <v>143</v>
      </c>
      <c r="E35" s="19" t="s">
        <v>143</v>
      </c>
      <c r="G35" s="19" t="s">
        <v>182</v>
      </c>
      <c r="I35" s="19" t="s">
        <v>151</v>
      </c>
      <c r="K35" s="19" t="s">
        <v>151</v>
      </c>
      <c r="L35" s="19" t="s">
        <v>152</v>
      </c>
      <c r="M35" s="19" t="s">
        <v>182</v>
      </c>
      <c r="N35" s="19" t="s">
        <v>153</v>
      </c>
    </row>
    <row r="36" spans="1:14" ht="105">
      <c r="A36" s="19" t="s">
        <v>118</v>
      </c>
      <c r="B36" s="19" t="s">
        <v>175</v>
      </c>
      <c r="C36" s="19" t="s">
        <v>143</v>
      </c>
      <c r="D36" s="19" t="s">
        <v>176</v>
      </c>
      <c r="E36" s="19" t="s">
        <v>143</v>
      </c>
      <c r="F36" s="19" t="s">
        <v>177</v>
      </c>
      <c r="G36" s="19" t="s">
        <v>143</v>
      </c>
      <c r="H36" s="19" t="s">
        <v>178</v>
      </c>
      <c r="I36" s="19" t="s">
        <v>139</v>
      </c>
      <c r="K36" s="19" t="s">
        <v>139</v>
      </c>
      <c r="L36" s="19" t="s">
        <v>171</v>
      </c>
      <c r="M36" s="19" t="s">
        <v>141</v>
      </c>
      <c r="N36" s="19" t="s">
        <v>172</v>
      </c>
    </row>
    <row r="37" spans="1:14" ht="42">
      <c r="A37" s="19" t="s">
        <v>154</v>
      </c>
      <c r="B37" s="19" t="s">
        <v>122</v>
      </c>
      <c r="C37" s="19" t="s">
        <v>185</v>
      </c>
      <c r="D37" s="19" t="s">
        <v>134</v>
      </c>
      <c r="E37" s="19" t="s">
        <v>185</v>
      </c>
      <c r="F37" s="19" t="s">
        <v>174</v>
      </c>
      <c r="G37" s="19" t="s">
        <v>185</v>
      </c>
      <c r="H37" s="19" t="s">
        <v>174</v>
      </c>
      <c r="I37" s="19" t="s">
        <v>151</v>
      </c>
      <c r="K37" s="19" t="s">
        <v>151</v>
      </c>
      <c r="M37" s="19" t="s">
        <v>151</v>
      </c>
    </row>
    <row r="38" spans="1:14" ht="42">
      <c r="A38" s="19" t="s">
        <v>154</v>
      </c>
      <c r="B38" s="19" t="s">
        <v>196</v>
      </c>
      <c r="C38" s="19" t="s">
        <v>183</v>
      </c>
      <c r="D38" s="19" t="s">
        <v>197</v>
      </c>
      <c r="E38" s="19" t="s">
        <v>183</v>
      </c>
      <c r="F38" s="19" t="s">
        <v>174</v>
      </c>
      <c r="G38" s="19" t="s">
        <v>183</v>
      </c>
      <c r="H38" s="19" t="s">
        <v>174</v>
      </c>
      <c r="I38" s="19" t="s">
        <v>180</v>
      </c>
      <c r="K38" s="19" t="s">
        <v>180</v>
      </c>
      <c r="M38" s="19" t="s">
        <v>180</v>
      </c>
    </row>
    <row r="39" spans="1:14" ht="42">
      <c r="A39" s="19" t="s">
        <v>154</v>
      </c>
      <c r="B39" s="19" t="s">
        <v>129</v>
      </c>
      <c r="C39" s="19" t="s">
        <v>138</v>
      </c>
      <c r="D39" s="19" t="s">
        <v>147</v>
      </c>
      <c r="E39" s="19" t="s">
        <v>138</v>
      </c>
      <c r="F39" s="19" t="s">
        <v>148</v>
      </c>
      <c r="G39" s="19" t="s">
        <v>138</v>
      </c>
      <c r="H39" s="19" t="s">
        <v>148</v>
      </c>
      <c r="I39" s="19" t="s">
        <v>180</v>
      </c>
      <c r="K39" s="19" t="s">
        <v>180</v>
      </c>
      <c r="L39" s="19" t="s">
        <v>217</v>
      </c>
      <c r="M39" s="19" t="s">
        <v>180</v>
      </c>
      <c r="N39" s="19" t="s">
        <v>217</v>
      </c>
    </row>
    <row r="40" spans="1:14" ht="42">
      <c r="A40" s="19" t="s">
        <v>154</v>
      </c>
      <c r="B40" s="19" t="s">
        <v>121</v>
      </c>
      <c r="C40" s="19" t="s">
        <v>146</v>
      </c>
      <c r="E40" s="19" t="s">
        <v>146</v>
      </c>
      <c r="G40" s="19" t="s">
        <v>146</v>
      </c>
      <c r="I40" s="19" t="s">
        <v>151</v>
      </c>
      <c r="K40" s="19" t="s">
        <v>151</v>
      </c>
      <c r="M40" s="19" t="s">
        <v>151</v>
      </c>
    </row>
    <row r="41" spans="1:14" ht="105">
      <c r="A41" s="19" t="s">
        <v>154</v>
      </c>
      <c r="B41" s="19" t="s">
        <v>110</v>
      </c>
      <c r="C41" s="19" t="s">
        <v>131</v>
      </c>
      <c r="D41" s="19" t="s">
        <v>217</v>
      </c>
      <c r="E41" s="19" t="s">
        <v>131</v>
      </c>
      <c r="F41" s="19" t="s">
        <v>216</v>
      </c>
      <c r="G41" s="19" t="s">
        <v>131</v>
      </c>
      <c r="H41" s="19" t="s">
        <v>223</v>
      </c>
      <c r="I41" s="19" t="s">
        <v>151</v>
      </c>
      <c r="K41" s="19" t="s">
        <v>151</v>
      </c>
      <c r="L41" s="19" t="s">
        <v>155</v>
      </c>
      <c r="M41" s="19" t="s">
        <v>151</v>
      </c>
      <c r="N41" s="19" t="s">
        <v>156</v>
      </c>
    </row>
    <row r="42" spans="1:14" ht="42">
      <c r="A42" s="19" t="s">
        <v>154</v>
      </c>
      <c r="B42" s="19" t="s">
        <v>173</v>
      </c>
      <c r="C42" s="19" t="s">
        <v>183</v>
      </c>
      <c r="D42" s="19" t="s">
        <v>218</v>
      </c>
      <c r="E42" s="19" t="s">
        <v>143</v>
      </c>
      <c r="F42" s="19" t="s">
        <v>218</v>
      </c>
      <c r="G42" s="19" t="s">
        <v>143</v>
      </c>
      <c r="H42" s="19" t="s">
        <v>218</v>
      </c>
      <c r="I42" s="19" t="s">
        <v>139</v>
      </c>
      <c r="K42" s="19" t="s">
        <v>139</v>
      </c>
      <c r="L42" s="19" t="s">
        <v>134</v>
      </c>
      <c r="M42" s="19" t="s">
        <v>139</v>
      </c>
      <c r="N42" s="19" t="s">
        <v>134</v>
      </c>
    </row>
    <row r="43" spans="1:14" ht="63">
      <c r="A43" s="19" t="s">
        <v>113</v>
      </c>
      <c r="B43" s="19" t="s">
        <v>122</v>
      </c>
      <c r="C43" s="19" t="s">
        <v>183</v>
      </c>
      <c r="D43" s="19" t="s">
        <v>227</v>
      </c>
      <c r="E43" s="19" t="s">
        <v>183</v>
      </c>
      <c r="F43" s="19" t="s">
        <v>174</v>
      </c>
      <c r="G43" s="19" t="s">
        <v>183</v>
      </c>
      <c r="H43" s="19" t="s">
        <v>174</v>
      </c>
      <c r="I43" s="19" t="s">
        <v>146</v>
      </c>
      <c r="K43" s="19" t="s">
        <v>146</v>
      </c>
      <c r="M43" s="19" t="s">
        <v>146</v>
      </c>
    </row>
    <row r="44" spans="1:14" ht="42">
      <c r="A44" s="19" t="s">
        <v>113</v>
      </c>
      <c r="B44" s="19" t="s">
        <v>196</v>
      </c>
      <c r="C44" s="19" t="s">
        <v>185</v>
      </c>
      <c r="E44" s="19" t="s">
        <v>185</v>
      </c>
      <c r="F44" s="19" t="s">
        <v>174</v>
      </c>
      <c r="G44" s="19" t="s">
        <v>185</v>
      </c>
      <c r="H44" s="19" t="s">
        <v>174</v>
      </c>
      <c r="I44" s="19" t="s">
        <v>180</v>
      </c>
      <c r="K44" s="19" t="s">
        <v>180</v>
      </c>
      <c r="M44" s="19" t="s">
        <v>180</v>
      </c>
    </row>
    <row r="45" spans="1:14" ht="42">
      <c r="A45" s="19" t="s">
        <v>113</v>
      </c>
      <c r="B45" s="19" t="s">
        <v>129</v>
      </c>
      <c r="C45" s="19" t="s">
        <v>179</v>
      </c>
      <c r="D45" s="19" t="s">
        <v>216</v>
      </c>
      <c r="E45" s="19" t="s">
        <v>179</v>
      </c>
      <c r="F45" s="19" t="s">
        <v>216</v>
      </c>
      <c r="G45" s="19" t="s">
        <v>179</v>
      </c>
      <c r="H45" s="19" t="s">
        <v>216</v>
      </c>
      <c r="I45" s="19" t="s">
        <v>139</v>
      </c>
      <c r="K45" s="19" t="s">
        <v>139</v>
      </c>
      <c r="L45" s="19" t="s">
        <v>217</v>
      </c>
      <c r="M45" s="19" t="s">
        <v>139</v>
      </c>
      <c r="N45" s="19" t="s">
        <v>217</v>
      </c>
    </row>
    <row r="46" spans="1:14" ht="42">
      <c r="A46" s="19" t="s">
        <v>113</v>
      </c>
      <c r="B46" s="19" t="s">
        <v>121</v>
      </c>
      <c r="C46" s="19" t="s">
        <v>143</v>
      </c>
      <c r="E46" s="19" t="s">
        <v>143</v>
      </c>
      <c r="G46" s="19" t="s">
        <v>143</v>
      </c>
      <c r="I46" s="19" t="s">
        <v>180</v>
      </c>
      <c r="K46" s="19" t="s">
        <v>180</v>
      </c>
      <c r="M46" s="19" t="s">
        <v>180</v>
      </c>
    </row>
    <row r="47" spans="1:14" ht="105">
      <c r="A47" s="19" t="s">
        <v>113</v>
      </c>
      <c r="B47" s="19" t="s">
        <v>110</v>
      </c>
      <c r="C47" s="19" t="s">
        <v>138</v>
      </c>
      <c r="D47" s="19" t="s">
        <v>227</v>
      </c>
      <c r="E47" s="19" t="s">
        <v>138</v>
      </c>
      <c r="F47" s="19" t="s">
        <v>227</v>
      </c>
      <c r="G47" s="19" t="s">
        <v>138</v>
      </c>
      <c r="H47" s="19" t="s">
        <v>222</v>
      </c>
      <c r="I47" s="19" t="s">
        <v>139</v>
      </c>
      <c r="K47" s="19" t="s">
        <v>139</v>
      </c>
      <c r="L47" s="19" t="s">
        <v>157</v>
      </c>
      <c r="M47" s="19" t="s">
        <v>141</v>
      </c>
      <c r="N47" s="19" t="s">
        <v>158</v>
      </c>
    </row>
    <row r="48" spans="1:14" ht="42">
      <c r="A48" s="19" t="s">
        <v>113</v>
      </c>
      <c r="B48" s="19" t="s">
        <v>175</v>
      </c>
      <c r="C48" s="19" t="s">
        <v>191</v>
      </c>
      <c r="E48" s="19" t="s">
        <v>191</v>
      </c>
      <c r="F48" s="19" t="s">
        <v>197</v>
      </c>
      <c r="G48" s="19" t="s">
        <v>191</v>
      </c>
      <c r="H48" s="19" t="s">
        <v>197</v>
      </c>
      <c r="I48" s="19" t="s">
        <v>151</v>
      </c>
      <c r="K48" s="19" t="s">
        <v>151</v>
      </c>
      <c r="L48" s="19" t="s">
        <v>224</v>
      </c>
      <c r="M48" s="19" t="s">
        <v>151</v>
      </c>
      <c r="N48" s="19" t="s">
        <v>237</v>
      </c>
    </row>
    <row r="49" spans="1:14" ht="42">
      <c r="A49" s="19" t="s">
        <v>112</v>
      </c>
      <c r="B49" s="19" t="s">
        <v>122</v>
      </c>
      <c r="C49" s="19" t="s">
        <v>185</v>
      </c>
      <c r="D49" s="19" t="s">
        <v>217</v>
      </c>
      <c r="E49" s="19" t="s">
        <v>185</v>
      </c>
      <c r="F49" s="19" t="s">
        <v>174</v>
      </c>
      <c r="G49" s="19" t="s">
        <v>185</v>
      </c>
      <c r="H49" s="19" t="s">
        <v>174</v>
      </c>
      <c r="I49" s="19" t="s">
        <v>131</v>
      </c>
      <c r="K49" s="19" t="s">
        <v>131</v>
      </c>
      <c r="M49" s="19" t="s">
        <v>131</v>
      </c>
    </row>
    <row r="50" spans="1:14" ht="63">
      <c r="A50" s="19" t="s">
        <v>112</v>
      </c>
      <c r="B50" s="19" t="s">
        <v>196</v>
      </c>
      <c r="C50" s="19" t="s">
        <v>179</v>
      </c>
      <c r="D50" s="19" t="s">
        <v>227</v>
      </c>
      <c r="E50" s="19" t="s">
        <v>179</v>
      </c>
      <c r="F50" s="19" t="s">
        <v>174</v>
      </c>
      <c r="G50" s="19" t="s">
        <v>179</v>
      </c>
      <c r="H50" s="19" t="s">
        <v>174</v>
      </c>
      <c r="I50" s="19" t="s">
        <v>143</v>
      </c>
      <c r="K50" s="19" t="s">
        <v>143</v>
      </c>
      <c r="M50" s="19" t="s">
        <v>143</v>
      </c>
    </row>
    <row r="51" spans="1:14" ht="42">
      <c r="A51" s="19" t="s">
        <v>112</v>
      </c>
      <c r="B51" s="19" t="s">
        <v>129</v>
      </c>
      <c r="C51" s="19" t="s">
        <v>143</v>
      </c>
      <c r="D51" s="19" t="s">
        <v>147</v>
      </c>
      <c r="E51" s="19" t="s">
        <v>143</v>
      </c>
      <c r="F51" s="19" t="s">
        <v>148</v>
      </c>
      <c r="G51" s="19" t="s">
        <v>143</v>
      </c>
      <c r="H51" s="19" t="s">
        <v>148</v>
      </c>
      <c r="I51" s="19" t="s">
        <v>180</v>
      </c>
      <c r="K51" s="19" t="s">
        <v>180</v>
      </c>
      <c r="L51" s="19" t="s">
        <v>217</v>
      </c>
      <c r="M51" s="19" t="s">
        <v>180</v>
      </c>
      <c r="N51" s="19" t="s">
        <v>217</v>
      </c>
    </row>
    <row r="52" spans="1:14" ht="42">
      <c r="A52" s="19" t="s">
        <v>112</v>
      </c>
      <c r="B52" s="19" t="s">
        <v>121</v>
      </c>
      <c r="C52" s="19" t="s">
        <v>138</v>
      </c>
      <c r="E52" s="19" t="s">
        <v>138</v>
      </c>
      <c r="G52" s="19" t="s">
        <v>138</v>
      </c>
      <c r="I52" s="19" t="s">
        <v>151</v>
      </c>
      <c r="K52" s="19" t="s">
        <v>151</v>
      </c>
      <c r="M52" s="19" t="s">
        <v>151</v>
      </c>
    </row>
    <row r="53" spans="1:14" ht="105">
      <c r="A53" s="19" t="s">
        <v>112</v>
      </c>
      <c r="B53" s="19" t="s">
        <v>110</v>
      </c>
      <c r="C53" s="19" t="s">
        <v>146</v>
      </c>
      <c r="D53" s="19" t="s">
        <v>147</v>
      </c>
      <c r="E53" s="19" t="s">
        <v>146</v>
      </c>
      <c r="F53" s="19" t="s">
        <v>225</v>
      </c>
      <c r="G53" s="19" t="s">
        <v>146</v>
      </c>
      <c r="H53" s="19" t="s">
        <v>225</v>
      </c>
      <c r="I53" s="19" t="s">
        <v>139</v>
      </c>
      <c r="K53" s="19" t="s">
        <v>139</v>
      </c>
      <c r="L53" s="19" t="s">
        <v>159</v>
      </c>
      <c r="M53" s="19" t="s">
        <v>141</v>
      </c>
      <c r="N53" s="19" t="s">
        <v>160</v>
      </c>
    </row>
    <row r="54" spans="1:14" ht="84">
      <c r="A54" s="19" t="s">
        <v>112</v>
      </c>
      <c r="B54" s="19" t="s">
        <v>173</v>
      </c>
      <c r="C54" s="19" t="s">
        <v>138</v>
      </c>
      <c r="D54" s="19" t="s">
        <v>134</v>
      </c>
      <c r="E54" s="19" t="s">
        <v>138</v>
      </c>
      <c r="F54" s="19" t="s">
        <v>134</v>
      </c>
      <c r="G54" s="19" t="s">
        <v>138</v>
      </c>
      <c r="H54" s="19" t="s">
        <v>174</v>
      </c>
      <c r="I54" s="19" t="s">
        <v>151</v>
      </c>
      <c r="K54" s="19" t="s">
        <v>151</v>
      </c>
      <c r="L54" s="19" t="s">
        <v>157</v>
      </c>
      <c r="M54" s="19" t="s">
        <v>151</v>
      </c>
      <c r="N54" s="19" t="s">
        <v>174</v>
      </c>
    </row>
    <row r="55" spans="1:14" ht="42">
      <c r="A55" s="19" t="s">
        <v>161</v>
      </c>
      <c r="B55" s="19" t="s">
        <v>122</v>
      </c>
      <c r="C55" s="19" t="s">
        <v>179</v>
      </c>
      <c r="D55" s="19" t="s">
        <v>197</v>
      </c>
      <c r="E55" s="19" t="s">
        <v>179</v>
      </c>
      <c r="F55" s="19" t="s">
        <v>174</v>
      </c>
      <c r="G55" s="19" t="s">
        <v>179</v>
      </c>
      <c r="H55" s="19" t="s">
        <v>174</v>
      </c>
      <c r="I55" s="19" t="s">
        <v>139</v>
      </c>
      <c r="K55" s="19" t="s">
        <v>139</v>
      </c>
      <c r="M55" s="19" t="s">
        <v>139</v>
      </c>
    </row>
    <row r="56" spans="1:14" ht="42">
      <c r="A56" s="19" t="s">
        <v>161</v>
      </c>
      <c r="B56" s="19" t="s">
        <v>196</v>
      </c>
      <c r="C56" s="19" t="s">
        <v>183</v>
      </c>
      <c r="E56" s="19" t="s">
        <v>183</v>
      </c>
      <c r="F56" s="19" t="s">
        <v>174</v>
      </c>
      <c r="G56" s="19" t="s">
        <v>183</v>
      </c>
      <c r="H56" s="19" t="s">
        <v>174</v>
      </c>
      <c r="I56" s="19" t="s">
        <v>139</v>
      </c>
      <c r="K56" s="19" t="s">
        <v>139</v>
      </c>
      <c r="M56" s="19" t="s">
        <v>139</v>
      </c>
    </row>
    <row r="57" spans="1:14" ht="42">
      <c r="A57" s="19" t="s">
        <v>161</v>
      </c>
      <c r="B57" s="19" t="s">
        <v>129</v>
      </c>
      <c r="C57" s="19" t="s">
        <v>146</v>
      </c>
      <c r="E57" s="19" t="s">
        <v>146</v>
      </c>
      <c r="G57" s="19" t="s">
        <v>146</v>
      </c>
      <c r="I57" s="19" t="s">
        <v>151</v>
      </c>
      <c r="K57" s="19" t="s">
        <v>151</v>
      </c>
      <c r="M57" s="19" t="s">
        <v>151</v>
      </c>
    </row>
    <row r="58" spans="1:14" ht="42">
      <c r="A58" s="19" t="s">
        <v>161</v>
      </c>
      <c r="B58" s="19" t="s">
        <v>121</v>
      </c>
      <c r="C58" s="19" t="s">
        <v>179</v>
      </c>
      <c r="D58" s="19" t="s">
        <v>218</v>
      </c>
      <c r="E58" s="19" t="s">
        <v>179</v>
      </c>
      <c r="F58" s="19" t="s">
        <v>220</v>
      </c>
      <c r="G58" s="19" t="s">
        <v>179</v>
      </c>
      <c r="H58" s="19" t="s">
        <v>220</v>
      </c>
      <c r="I58" s="19" t="s">
        <v>184</v>
      </c>
      <c r="K58" s="19" t="s">
        <v>184</v>
      </c>
      <c r="L58" s="19" t="s">
        <v>221</v>
      </c>
      <c r="M58" s="19" t="s">
        <v>184</v>
      </c>
      <c r="N58" s="19" t="s">
        <v>221</v>
      </c>
    </row>
    <row r="59" spans="1:14" ht="105">
      <c r="A59" s="19" t="s">
        <v>161</v>
      </c>
      <c r="B59" s="19" t="s">
        <v>110</v>
      </c>
      <c r="C59" s="19" t="s">
        <v>146</v>
      </c>
      <c r="D59" s="19" t="s">
        <v>217</v>
      </c>
      <c r="E59" s="19" t="s">
        <v>146</v>
      </c>
      <c r="F59" s="19" t="s">
        <v>217</v>
      </c>
      <c r="G59" s="19" t="s">
        <v>146</v>
      </c>
      <c r="H59" s="19" t="s">
        <v>216</v>
      </c>
      <c r="I59" s="19" t="s">
        <v>180</v>
      </c>
      <c r="K59" s="19" t="s">
        <v>180</v>
      </c>
      <c r="L59" s="19" t="s">
        <v>162</v>
      </c>
      <c r="M59" s="19" t="s">
        <v>180</v>
      </c>
      <c r="N59" s="19" t="s">
        <v>163</v>
      </c>
    </row>
    <row r="60" spans="1:14" ht="42">
      <c r="A60" s="19" t="s">
        <v>161</v>
      </c>
      <c r="B60" s="19" t="s">
        <v>173</v>
      </c>
      <c r="C60" s="19" t="s">
        <v>131</v>
      </c>
      <c r="D60" s="19" t="s">
        <v>147</v>
      </c>
      <c r="E60" s="19" t="s">
        <v>131</v>
      </c>
      <c r="F60" s="19" t="s">
        <v>148</v>
      </c>
      <c r="G60" s="19" t="s">
        <v>131</v>
      </c>
      <c r="H60" s="19" t="s">
        <v>148</v>
      </c>
      <c r="I60" s="19" t="s">
        <v>151</v>
      </c>
      <c r="K60" s="19" t="s">
        <v>151</v>
      </c>
      <c r="L60" s="19" t="s">
        <v>217</v>
      </c>
      <c r="M60" s="19" t="s">
        <v>151</v>
      </c>
      <c r="N60" s="19" t="s">
        <v>217</v>
      </c>
    </row>
    <row r="61" spans="1:14" ht="42">
      <c r="A61" s="19" t="s">
        <v>124</v>
      </c>
      <c r="B61" s="19" t="s">
        <v>122</v>
      </c>
      <c r="C61" s="19" t="s">
        <v>183</v>
      </c>
      <c r="D61" s="19" t="s">
        <v>134</v>
      </c>
      <c r="E61" s="19" t="s">
        <v>183</v>
      </c>
      <c r="F61" s="19" t="s">
        <v>174</v>
      </c>
      <c r="G61" s="19" t="s">
        <v>183</v>
      </c>
      <c r="H61" s="19" t="s">
        <v>174</v>
      </c>
      <c r="I61" s="19" t="s">
        <v>139</v>
      </c>
      <c r="K61" s="19" t="s">
        <v>139</v>
      </c>
      <c r="M61" s="19" t="s">
        <v>139</v>
      </c>
    </row>
    <row r="62" spans="1:14" ht="42">
      <c r="A62" s="19" t="s">
        <v>124</v>
      </c>
      <c r="B62" s="19" t="s">
        <v>196</v>
      </c>
      <c r="C62" s="19" t="s">
        <v>179</v>
      </c>
      <c r="D62" s="19" t="s">
        <v>147</v>
      </c>
      <c r="E62" s="19" t="s">
        <v>179</v>
      </c>
      <c r="F62" s="19" t="s">
        <v>148</v>
      </c>
      <c r="G62" s="19" t="s">
        <v>179</v>
      </c>
      <c r="H62" s="19" t="s">
        <v>148</v>
      </c>
      <c r="I62" s="19" t="s">
        <v>180</v>
      </c>
      <c r="K62" s="19" t="s">
        <v>180</v>
      </c>
      <c r="M62" s="19" t="s">
        <v>180</v>
      </c>
    </row>
    <row r="63" spans="1:14" ht="42">
      <c r="A63" s="19" t="s">
        <v>124</v>
      </c>
      <c r="B63" s="19" t="s">
        <v>129</v>
      </c>
      <c r="C63" s="19" t="s">
        <v>185</v>
      </c>
      <c r="D63" s="19" t="s">
        <v>228</v>
      </c>
      <c r="E63" s="19" t="s">
        <v>146</v>
      </c>
      <c r="F63" s="19" t="s">
        <v>228</v>
      </c>
      <c r="G63" s="19" t="s">
        <v>146</v>
      </c>
      <c r="H63" s="19" t="s">
        <v>228</v>
      </c>
      <c r="I63" s="19" t="s">
        <v>184</v>
      </c>
      <c r="K63" s="19" t="s">
        <v>184</v>
      </c>
      <c r="L63" s="19" t="s">
        <v>186</v>
      </c>
      <c r="M63" s="19" t="s">
        <v>184</v>
      </c>
    </row>
    <row r="64" spans="1:14" ht="42">
      <c r="A64" s="19" t="s">
        <v>124</v>
      </c>
      <c r="B64" s="19" t="s">
        <v>121</v>
      </c>
      <c r="C64" s="19" t="s">
        <v>143</v>
      </c>
      <c r="E64" s="19" t="s">
        <v>143</v>
      </c>
      <c r="G64" s="19" t="s">
        <v>143</v>
      </c>
      <c r="I64" s="19" t="s">
        <v>139</v>
      </c>
      <c r="K64" s="19" t="s">
        <v>139</v>
      </c>
      <c r="M64" s="19" t="s">
        <v>139</v>
      </c>
    </row>
    <row r="65" spans="1:14" ht="105">
      <c r="A65" s="19" t="s">
        <v>124</v>
      </c>
      <c r="B65" s="19" t="s">
        <v>110</v>
      </c>
      <c r="C65" s="19" t="s">
        <v>131</v>
      </c>
      <c r="D65" s="19" t="s">
        <v>197</v>
      </c>
      <c r="E65" s="19" t="s">
        <v>131</v>
      </c>
      <c r="F65" s="19" t="s">
        <v>197</v>
      </c>
      <c r="G65" s="19" t="s">
        <v>131</v>
      </c>
      <c r="H65" s="19" t="s">
        <v>228</v>
      </c>
      <c r="I65" s="19" t="s">
        <v>151</v>
      </c>
      <c r="K65" s="19" t="s">
        <v>151</v>
      </c>
      <c r="L65" s="19" t="s">
        <v>164</v>
      </c>
      <c r="M65" s="19" t="s">
        <v>151</v>
      </c>
      <c r="N65" s="19" t="s">
        <v>165</v>
      </c>
    </row>
    <row r="66" spans="1:14" ht="42">
      <c r="A66" s="19" t="s">
        <v>128</v>
      </c>
      <c r="B66" s="19" t="s">
        <v>122</v>
      </c>
      <c r="C66" s="19" t="s">
        <v>191</v>
      </c>
      <c r="E66" s="19" t="s">
        <v>191</v>
      </c>
      <c r="G66" s="19" t="s">
        <v>191</v>
      </c>
      <c r="I66" s="19" t="s">
        <v>139</v>
      </c>
      <c r="K66" s="19" t="s">
        <v>139</v>
      </c>
      <c r="M66" s="19" t="s">
        <v>139</v>
      </c>
    </row>
    <row r="67" spans="1:14" ht="63">
      <c r="A67" s="19" t="s">
        <v>128</v>
      </c>
      <c r="B67" s="19" t="s">
        <v>196</v>
      </c>
      <c r="C67" s="19" t="s">
        <v>185</v>
      </c>
      <c r="D67" s="19" t="s">
        <v>227</v>
      </c>
      <c r="E67" s="19" t="s">
        <v>185</v>
      </c>
      <c r="F67" s="19" t="s">
        <v>174</v>
      </c>
      <c r="G67" s="19" t="s">
        <v>185</v>
      </c>
      <c r="H67" s="19" t="s">
        <v>174</v>
      </c>
      <c r="I67" s="19" t="s">
        <v>143</v>
      </c>
      <c r="K67" s="19" t="s">
        <v>143</v>
      </c>
      <c r="M67" s="19" t="s">
        <v>143</v>
      </c>
    </row>
    <row r="68" spans="1:14" ht="63">
      <c r="A68" s="19" t="s">
        <v>128</v>
      </c>
      <c r="B68" s="19" t="s">
        <v>129</v>
      </c>
      <c r="C68" s="19" t="s">
        <v>131</v>
      </c>
      <c r="D68" s="19" t="s">
        <v>227</v>
      </c>
      <c r="E68" s="19" t="s">
        <v>131</v>
      </c>
      <c r="F68" s="19" t="s">
        <v>227</v>
      </c>
      <c r="G68" s="19" t="s">
        <v>131</v>
      </c>
      <c r="H68" s="19" t="s">
        <v>227</v>
      </c>
      <c r="I68" s="19" t="s">
        <v>180</v>
      </c>
      <c r="K68" s="19" t="s">
        <v>180</v>
      </c>
      <c r="M68" s="19" t="s">
        <v>180</v>
      </c>
    </row>
    <row r="69" spans="1:14" ht="42">
      <c r="A69" s="19" t="s">
        <v>128</v>
      </c>
      <c r="B69" s="19" t="s">
        <v>121</v>
      </c>
      <c r="C69" s="19" t="s">
        <v>183</v>
      </c>
      <c r="D69" s="19" t="s">
        <v>216</v>
      </c>
      <c r="E69" s="19" t="s">
        <v>183</v>
      </c>
      <c r="F69" s="19" t="s">
        <v>216</v>
      </c>
      <c r="G69" s="19" t="s">
        <v>183</v>
      </c>
      <c r="H69" s="19" t="s">
        <v>216</v>
      </c>
      <c r="I69" s="19" t="s">
        <v>184</v>
      </c>
      <c r="K69" s="19" t="s">
        <v>184</v>
      </c>
      <c r="L69" s="19" t="s">
        <v>217</v>
      </c>
      <c r="M69" s="19" t="s">
        <v>184</v>
      </c>
      <c r="N69" s="19" t="s">
        <v>217</v>
      </c>
    </row>
    <row r="70" spans="1:14" ht="105">
      <c r="A70" s="19" t="s">
        <v>128</v>
      </c>
      <c r="B70" s="19" t="s">
        <v>110</v>
      </c>
      <c r="C70" s="19" t="s">
        <v>146</v>
      </c>
      <c r="D70" s="19" t="s">
        <v>166</v>
      </c>
      <c r="E70" s="19" t="s">
        <v>146</v>
      </c>
      <c r="F70" s="19" t="s">
        <v>167</v>
      </c>
      <c r="G70" s="19" t="s">
        <v>146</v>
      </c>
      <c r="H70" s="19" t="s">
        <v>168</v>
      </c>
      <c r="I70" s="19" t="s">
        <v>184</v>
      </c>
      <c r="K70" s="19" t="s">
        <v>184</v>
      </c>
      <c r="L70" s="19" t="s">
        <v>169</v>
      </c>
      <c r="M70" s="19" t="s">
        <v>234</v>
      </c>
      <c r="N70" s="19" t="s">
        <v>170</v>
      </c>
    </row>
    <row r="71" spans="1:14" ht="42">
      <c r="A71" s="19" t="s">
        <v>128</v>
      </c>
      <c r="B71" s="19" t="s">
        <v>175</v>
      </c>
      <c r="C71" s="19" t="s">
        <v>185</v>
      </c>
      <c r="D71" s="19" t="s">
        <v>134</v>
      </c>
      <c r="E71" s="19" t="s">
        <v>185</v>
      </c>
      <c r="F71" s="19" t="s">
        <v>218</v>
      </c>
      <c r="G71" s="19" t="s">
        <v>185</v>
      </c>
      <c r="H71" s="19" t="s">
        <v>218</v>
      </c>
      <c r="I71" s="19" t="s">
        <v>180</v>
      </c>
      <c r="K71" s="19" t="s">
        <v>180</v>
      </c>
      <c r="L71" s="19" t="s">
        <v>193</v>
      </c>
      <c r="M71" s="19" t="s">
        <v>180</v>
      </c>
      <c r="N71" s="19" t="s">
        <v>147</v>
      </c>
    </row>
    <row r="72" spans="1:14" ht="42">
      <c r="A72" s="19" t="s">
        <v>114</v>
      </c>
      <c r="B72" s="19" t="s">
        <v>122</v>
      </c>
      <c r="C72" s="19" t="s">
        <v>185</v>
      </c>
      <c r="D72" s="19" t="s">
        <v>217</v>
      </c>
      <c r="E72" s="19" t="s">
        <v>185</v>
      </c>
      <c r="F72" s="19" t="s">
        <v>174</v>
      </c>
      <c r="G72" s="19" t="s">
        <v>185</v>
      </c>
      <c r="H72" s="19" t="s">
        <v>174</v>
      </c>
      <c r="I72" s="19" t="s">
        <v>131</v>
      </c>
      <c r="K72" s="19" t="s">
        <v>131</v>
      </c>
      <c r="M72" s="19" t="s">
        <v>131</v>
      </c>
    </row>
    <row r="73" spans="1:14" ht="42">
      <c r="A73" s="19" t="s">
        <v>114</v>
      </c>
      <c r="B73" s="19" t="s">
        <v>196</v>
      </c>
      <c r="C73" s="19" t="s">
        <v>179</v>
      </c>
      <c r="E73" s="19" t="s">
        <v>179</v>
      </c>
      <c r="F73" s="19" t="s">
        <v>174</v>
      </c>
      <c r="G73" s="19" t="s">
        <v>179</v>
      </c>
      <c r="H73" s="19" t="s">
        <v>174</v>
      </c>
      <c r="I73" s="19" t="s">
        <v>139</v>
      </c>
      <c r="K73" s="19" t="s">
        <v>139</v>
      </c>
      <c r="M73" s="19" t="s">
        <v>139</v>
      </c>
    </row>
    <row r="74" spans="1:14" ht="42">
      <c r="A74" s="19" t="s">
        <v>114</v>
      </c>
      <c r="B74" s="19" t="s">
        <v>129</v>
      </c>
      <c r="C74" s="19" t="s">
        <v>131</v>
      </c>
      <c r="D74" s="19" t="s">
        <v>147</v>
      </c>
      <c r="E74" s="19" t="s">
        <v>131</v>
      </c>
      <c r="F74" s="19" t="s">
        <v>174</v>
      </c>
      <c r="G74" s="19" t="s">
        <v>131</v>
      </c>
      <c r="H74" s="19" t="s">
        <v>174</v>
      </c>
      <c r="I74" s="19" t="s">
        <v>151</v>
      </c>
      <c r="K74" s="19" t="s">
        <v>151</v>
      </c>
      <c r="L74" s="19" t="s">
        <v>174</v>
      </c>
      <c r="M74" s="19" t="s">
        <v>151</v>
      </c>
      <c r="N74" s="19" t="s">
        <v>174</v>
      </c>
    </row>
    <row r="75" spans="1:14" ht="42">
      <c r="A75" s="19" t="s">
        <v>114</v>
      </c>
      <c r="B75" s="19" t="s">
        <v>121</v>
      </c>
      <c r="C75" s="19" t="s">
        <v>143</v>
      </c>
      <c r="E75" s="19" t="s">
        <v>143</v>
      </c>
      <c r="G75" s="19" t="s">
        <v>143</v>
      </c>
      <c r="I75" s="19" t="s">
        <v>139</v>
      </c>
      <c r="K75" s="19" t="s">
        <v>139</v>
      </c>
      <c r="L75" s="19" t="s">
        <v>217</v>
      </c>
      <c r="M75" s="19" t="s">
        <v>139</v>
      </c>
      <c r="N75" s="19" t="s">
        <v>217</v>
      </c>
    </row>
    <row r="76" spans="1:14" ht="105">
      <c r="A76" s="19" t="s">
        <v>114</v>
      </c>
      <c r="B76" s="19" t="s">
        <v>110</v>
      </c>
      <c r="C76" s="19" t="s">
        <v>138</v>
      </c>
      <c r="D76" s="19" t="s">
        <v>227</v>
      </c>
      <c r="E76" s="19" t="s">
        <v>138</v>
      </c>
      <c r="F76" s="19" t="s">
        <v>222</v>
      </c>
      <c r="G76" s="19" t="s">
        <v>138</v>
      </c>
      <c r="H76" s="19" t="s">
        <v>230</v>
      </c>
      <c r="I76" s="19" t="s">
        <v>180</v>
      </c>
      <c r="K76" s="19" t="s">
        <v>180</v>
      </c>
      <c r="L76" s="19" t="s">
        <v>171</v>
      </c>
      <c r="M76" s="19" t="s">
        <v>180</v>
      </c>
      <c r="N76" s="19" t="s">
        <v>172</v>
      </c>
    </row>
    <row r="77" spans="1:14" ht="42">
      <c r="A77" s="19" t="s">
        <v>114</v>
      </c>
      <c r="B77" s="19" t="s">
        <v>175</v>
      </c>
      <c r="C77" s="19" t="s">
        <v>143</v>
      </c>
      <c r="D77" s="19" t="s">
        <v>134</v>
      </c>
      <c r="E77" s="19" t="s">
        <v>143</v>
      </c>
      <c r="F77" s="19" t="s">
        <v>134</v>
      </c>
      <c r="G77" s="19" t="s">
        <v>143</v>
      </c>
      <c r="H77" s="19" t="s">
        <v>134</v>
      </c>
      <c r="I77" s="19" t="s">
        <v>180</v>
      </c>
      <c r="K77" s="19" t="s">
        <v>180</v>
      </c>
      <c r="M77" s="19" t="s">
        <v>180</v>
      </c>
    </row>
    <row r="78" spans="1:14" ht="42">
      <c r="A78" s="19" t="s">
        <v>117</v>
      </c>
      <c r="B78" s="19" t="s">
        <v>122</v>
      </c>
      <c r="C78" s="19" t="s">
        <v>185</v>
      </c>
      <c r="D78" s="19" t="s">
        <v>197</v>
      </c>
      <c r="E78" s="19" t="s">
        <v>185</v>
      </c>
      <c r="F78" s="19" t="s">
        <v>228</v>
      </c>
      <c r="G78" s="19" t="s">
        <v>185</v>
      </c>
      <c r="H78" s="19" t="s">
        <v>228</v>
      </c>
      <c r="I78" s="19" t="s">
        <v>180</v>
      </c>
      <c r="K78" s="19" t="s">
        <v>180</v>
      </c>
      <c r="M78" s="19" t="s">
        <v>180</v>
      </c>
    </row>
    <row r="79" spans="1:14" ht="42">
      <c r="A79" s="19" t="s">
        <v>117</v>
      </c>
      <c r="B79" s="19" t="s">
        <v>196</v>
      </c>
      <c r="C79" s="19" t="s">
        <v>183</v>
      </c>
      <c r="D79" s="19" t="s">
        <v>134</v>
      </c>
      <c r="E79" s="19" t="s">
        <v>183</v>
      </c>
      <c r="F79" s="19" t="s">
        <v>218</v>
      </c>
      <c r="G79" s="19" t="s">
        <v>183</v>
      </c>
      <c r="H79" s="19" t="s">
        <v>218</v>
      </c>
      <c r="I79" s="19" t="s">
        <v>139</v>
      </c>
      <c r="K79" s="19" t="s">
        <v>139</v>
      </c>
      <c r="M79" s="19" t="s">
        <v>139</v>
      </c>
    </row>
    <row r="80" spans="1:14" ht="42">
      <c r="A80" s="19" t="s">
        <v>117</v>
      </c>
      <c r="B80" s="19" t="s">
        <v>129</v>
      </c>
      <c r="C80" s="19" t="s">
        <v>143</v>
      </c>
      <c r="D80" s="19" t="s">
        <v>134</v>
      </c>
      <c r="E80" s="19" t="s">
        <v>143</v>
      </c>
      <c r="F80" s="19" t="s">
        <v>134</v>
      </c>
      <c r="G80" s="19" t="s">
        <v>143</v>
      </c>
      <c r="H80" s="19" t="s">
        <v>134</v>
      </c>
      <c r="I80" s="19" t="s">
        <v>180</v>
      </c>
      <c r="K80" s="19" t="s">
        <v>180</v>
      </c>
      <c r="M80" s="19" t="s">
        <v>180</v>
      </c>
    </row>
    <row r="81" spans="1:14" ht="42">
      <c r="A81" s="19" t="s">
        <v>117</v>
      </c>
      <c r="B81" s="19" t="s">
        <v>121</v>
      </c>
      <c r="C81" s="19" t="s">
        <v>131</v>
      </c>
      <c r="E81" s="19" t="s">
        <v>131</v>
      </c>
      <c r="G81" s="19" t="s">
        <v>131</v>
      </c>
      <c r="I81" s="19" t="s">
        <v>139</v>
      </c>
      <c r="K81" s="19" t="s">
        <v>141</v>
      </c>
      <c r="M81" s="19" t="s">
        <v>141</v>
      </c>
    </row>
    <row r="82" spans="1:14" ht="42">
      <c r="A82" s="19" t="s">
        <v>188</v>
      </c>
      <c r="B82" s="19" t="s">
        <v>122</v>
      </c>
      <c r="C82" s="19" t="s">
        <v>185</v>
      </c>
      <c r="D82" s="19" t="s">
        <v>147</v>
      </c>
      <c r="E82" s="19" t="s">
        <v>185</v>
      </c>
      <c r="F82" s="19" t="s">
        <v>148</v>
      </c>
      <c r="G82" s="19" t="s">
        <v>185</v>
      </c>
      <c r="H82" s="19" t="s">
        <v>148</v>
      </c>
      <c r="I82" s="19" t="s">
        <v>151</v>
      </c>
      <c r="K82" s="19" t="s">
        <v>151</v>
      </c>
      <c r="M82" s="19" t="s">
        <v>151</v>
      </c>
    </row>
    <row r="83" spans="1:14" ht="42">
      <c r="A83" s="19" t="s">
        <v>188</v>
      </c>
      <c r="B83" s="19" t="s">
        <v>196</v>
      </c>
      <c r="C83" s="19" t="s">
        <v>191</v>
      </c>
      <c r="E83" s="19" t="s">
        <v>191</v>
      </c>
      <c r="F83" s="19" t="s">
        <v>174</v>
      </c>
      <c r="G83" s="19" t="s">
        <v>191</v>
      </c>
      <c r="H83" s="19" t="s">
        <v>174</v>
      </c>
      <c r="I83" s="19" t="s">
        <v>180</v>
      </c>
      <c r="K83" s="19" t="s">
        <v>180</v>
      </c>
      <c r="M83" s="19" t="s">
        <v>180</v>
      </c>
    </row>
    <row r="84" spans="1:14" ht="63">
      <c r="A84" s="19" t="s">
        <v>188</v>
      </c>
      <c r="B84" s="19" t="s">
        <v>129</v>
      </c>
      <c r="C84" s="19" t="s">
        <v>183</v>
      </c>
      <c r="D84" s="19" t="s">
        <v>222</v>
      </c>
      <c r="E84" s="19" t="s">
        <v>183</v>
      </c>
      <c r="F84" s="19" t="s">
        <v>222</v>
      </c>
      <c r="G84" s="19" t="s">
        <v>183</v>
      </c>
      <c r="H84" s="19" t="s">
        <v>222</v>
      </c>
      <c r="I84" s="19" t="s">
        <v>151</v>
      </c>
      <c r="K84" s="19" t="s">
        <v>151</v>
      </c>
      <c r="L84" s="19" t="s">
        <v>227</v>
      </c>
      <c r="M84" s="19" t="s">
        <v>151</v>
      </c>
      <c r="N84" s="19" t="s">
        <v>227</v>
      </c>
    </row>
    <row r="85" spans="1:14" ht="42">
      <c r="A85" s="19" t="s">
        <v>188</v>
      </c>
      <c r="B85" s="19" t="s">
        <v>121</v>
      </c>
      <c r="C85" s="19" t="s">
        <v>179</v>
      </c>
      <c r="D85" s="19" t="s">
        <v>216</v>
      </c>
      <c r="E85" s="19" t="s">
        <v>179</v>
      </c>
      <c r="F85" s="19" t="s">
        <v>216</v>
      </c>
      <c r="G85" s="19" t="s">
        <v>179</v>
      </c>
      <c r="H85" s="19" t="s">
        <v>216</v>
      </c>
      <c r="I85" s="19" t="s">
        <v>139</v>
      </c>
      <c r="K85" s="19" t="s">
        <v>139</v>
      </c>
      <c r="L85" s="19" t="s">
        <v>217</v>
      </c>
      <c r="M85" s="19" t="s">
        <v>139</v>
      </c>
      <c r="N85" s="19" t="s">
        <v>217</v>
      </c>
    </row>
    <row r="86" spans="1:14" ht="42">
      <c r="A86" s="19" t="s">
        <v>188</v>
      </c>
      <c r="B86" s="19" t="s">
        <v>74</v>
      </c>
      <c r="C86" s="19" t="s">
        <v>179</v>
      </c>
      <c r="E86" s="19" t="s">
        <v>179</v>
      </c>
      <c r="F86" s="19" t="s">
        <v>134</v>
      </c>
      <c r="G86" s="19" t="s">
        <v>179</v>
      </c>
      <c r="H86" s="19" t="s">
        <v>134</v>
      </c>
      <c r="I86" s="19" t="s">
        <v>180</v>
      </c>
      <c r="K86" s="19" t="s">
        <v>180</v>
      </c>
      <c r="L86" s="19" t="s">
        <v>231</v>
      </c>
      <c r="M86" s="19" t="s">
        <v>180</v>
      </c>
      <c r="N86" s="19" t="s">
        <v>231</v>
      </c>
    </row>
    <row r="87" spans="1:14" ht="42">
      <c r="A87" s="19" t="s">
        <v>187</v>
      </c>
      <c r="B87" s="19" t="s">
        <v>122</v>
      </c>
      <c r="C87" s="19" t="s">
        <v>179</v>
      </c>
      <c r="E87" s="19" t="s">
        <v>179</v>
      </c>
      <c r="F87" s="19" t="s">
        <v>174</v>
      </c>
      <c r="G87" s="19" t="s">
        <v>179</v>
      </c>
      <c r="H87" s="19" t="s">
        <v>174</v>
      </c>
      <c r="I87" s="19" t="s">
        <v>139</v>
      </c>
      <c r="K87" s="19" t="s">
        <v>139</v>
      </c>
      <c r="M87" s="19" t="s">
        <v>139</v>
      </c>
    </row>
    <row r="88" spans="1:14" ht="42">
      <c r="A88" s="19" t="s">
        <v>187</v>
      </c>
      <c r="B88" s="19" t="s">
        <v>196</v>
      </c>
      <c r="C88" s="19" t="s">
        <v>183</v>
      </c>
      <c r="D88" s="19" t="s">
        <v>147</v>
      </c>
      <c r="E88" s="19" t="s">
        <v>183</v>
      </c>
      <c r="F88" s="19" t="s">
        <v>148</v>
      </c>
      <c r="G88" s="19" t="s">
        <v>183</v>
      </c>
      <c r="H88" s="19" t="s">
        <v>148</v>
      </c>
      <c r="I88" s="19" t="s">
        <v>151</v>
      </c>
      <c r="K88" s="19" t="s">
        <v>151</v>
      </c>
      <c r="M88" s="19" t="s">
        <v>151</v>
      </c>
    </row>
    <row r="89" spans="1:14" ht="63">
      <c r="A89" s="19" t="s">
        <v>187</v>
      </c>
      <c r="B89" s="19" t="s">
        <v>129</v>
      </c>
      <c r="C89" s="19" t="s">
        <v>185</v>
      </c>
      <c r="D89" s="19" t="s">
        <v>222</v>
      </c>
      <c r="E89" s="19" t="s">
        <v>185</v>
      </c>
      <c r="F89" s="19" t="s">
        <v>174</v>
      </c>
      <c r="G89" s="19" t="s">
        <v>185</v>
      </c>
      <c r="H89" s="19" t="s">
        <v>174</v>
      </c>
      <c r="I89" s="19" t="s">
        <v>184</v>
      </c>
      <c r="K89" s="19" t="s">
        <v>184</v>
      </c>
      <c r="L89" s="19" t="s">
        <v>174</v>
      </c>
      <c r="M89" s="19" t="s">
        <v>184</v>
      </c>
      <c r="N89" s="19" t="s">
        <v>174</v>
      </c>
    </row>
    <row r="90" spans="1:14" ht="42">
      <c r="A90" s="19" t="s">
        <v>187</v>
      </c>
      <c r="B90" s="19" t="s">
        <v>121</v>
      </c>
      <c r="C90" s="19" t="s">
        <v>143</v>
      </c>
      <c r="D90" s="19" t="s">
        <v>217</v>
      </c>
      <c r="E90" s="19" t="s">
        <v>143</v>
      </c>
      <c r="F90" s="19" t="s">
        <v>217</v>
      </c>
      <c r="G90" s="19" t="s">
        <v>143</v>
      </c>
      <c r="H90" s="19" t="s">
        <v>217</v>
      </c>
      <c r="I90" s="19" t="s">
        <v>180</v>
      </c>
      <c r="K90" s="19" t="s">
        <v>180</v>
      </c>
      <c r="M90" s="19" t="s">
        <v>180</v>
      </c>
    </row>
    <row r="91" spans="1:14" ht="42">
      <c r="A91" s="19" t="s">
        <v>187</v>
      </c>
      <c r="B91" s="19" t="s">
        <v>74</v>
      </c>
      <c r="C91" s="19" t="s">
        <v>146</v>
      </c>
      <c r="D91" s="19" t="s">
        <v>197</v>
      </c>
      <c r="E91" s="19" t="s">
        <v>146</v>
      </c>
      <c r="F91" s="19" t="s">
        <v>197</v>
      </c>
      <c r="G91" s="19" t="s">
        <v>146</v>
      </c>
      <c r="H91" s="19" t="s">
        <v>197</v>
      </c>
      <c r="I91" s="19" t="s">
        <v>151</v>
      </c>
      <c r="K91" s="19" t="s">
        <v>151</v>
      </c>
      <c r="M91" s="19" t="s">
        <v>151</v>
      </c>
    </row>
    <row r="92" spans="1:14" ht="42">
      <c r="A92" s="19" t="s">
        <v>115</v>
      </c>
      <c r="B92" s="19" t="s">
        <v>122</v>
      </c>
      <c r="C92" s="19" t="s">
        <v>183</v>
      </c>
      <c r="D92" s="19" t="s">
        <v>197</v>
      </c>
      <c r="E92" s="19" t="s">
        <v>183</v>
      </c>
      <c r="F92" s="19" t="s">
        <v>174</v>
      </c>
      <c r="G92" s="19" t="s">
        <v>183</v>
      </c>
      <c r="H92" s="19" t="s">
        <v>174</v>
      </c>
      <c r="I92" s="19" t="s">
        <v>180</v>
      </c>
      <c r="K92" s="19" t="s">
        <v>180</v>
      </c>
      <c r="M92" s="19" t="s">
        <v>180</v>
      </c>
    </row>
    <row r="93" spans="1:14" ht="42">
      <c r="A93" s="19" t="s">
        <v>115</v>
      </c>
      <c r="B93" s="19" t="s">
        <v>196</v>
      </c>
      <c r="C93" s="19" t="s">
        <v>179</v>
      </c>
      <c r="D93" s="19" t="s">
        <v>134</v>
      </c>
      <c r="E93" s="19" t="s">
        <v>179</v>
      </c>
      <c r="F93" s="19" t="s">
        <v>174</v>
      </c>
      <c r="G93" s="19" t="s">
        <v>179</v>
      </c>
      <c r="H93" s="19" t="s">
        <v>174</v>
      </c>
      <c r="I93" s="19" t="s">
        <v>139</v>
      </c>
      <c r="K93" s="19" t="s">
        <v>139</v>
      </c>
      <c r="M93" s="19" t="s">
        <v>139</v>
      </c>
    </row>
    <row r="94" spans="1:14" ht="42">
      <c r="A94" s="19" t="s">
        <v>115</v>
      </c>
      <c r="B94" s="19" t="s">
        <v>129</v>
      </c>
      <c r="C94" s="19" t="s">
        <v>146</v>
      </c>
      <c r="D94" s="19" t="s">
        <v>134</v>
      </c>
      <c r="E94" s="19" t="s">
        <v>146</v>
      </c>
      <c r="F94" s="19" t="s">
        <v>134</v>
      </c>
      <c r="G94" s="19" t="s">
        <v>146</v>
      </c>
      <c r="H94" s="19" t="s">
        <v>134</v>
      </c>
      <c r="I94" s="19" t="s">
        <v>139</v>
      </c>
      <c r="K94" s="19" t="s">
        <v>139</v>
      </c>
      <c r="M94" s="19" t="s">
        <v>139</v>
      </c>
    </row>
    <row r="95" spans="1:14" ht="42">
      <c r="A95" s="19" t="s">
        <v>115</v>
      </c>
      <c r="B95" s="19" t="s">
        <v>121</v>
      </c>
      <c r="C95" s="19" t="s">
        <v>131</v>
      </c>
      <c r="E95" s="19" t="s">
        <v>131</v>
      </c>
      <c r="G95" s="19" t="s">
        <v>131</v>
      </c>
      <c r="I95" s="19" t="s">
        <v>151</v>
      </c>
      <c r="K95" s="19" t="s">
        <v>151</v>
      </c>
      <c r="M95" s="19" t="s">
        <v>151</v>
      </c>
    </row>
    <row r="96" spans="1:14" ht="42">
      <c r="A96" s="19" t="s">
        <v>120</v>
      </c>
      <c r="B96" s="19" t="s">
        <v>198</v>
      </c>
      <c r="C96" s="19" t="s">
        <v>185</v>
      </c>
      <c r="D96" s="19" t="s">
        <v>217</v>
      </c>
      <c r="E96" s="19" t="s">
        <v>185</v>
      </c>
      <c r="F96" s="19" t="s">
        <v>216</v>
      </c>
      <c r="G96" s="19" t="s">
        <v>185</v>
      </c>
      <c r="H96" s="19" t="s">
        <v>216</v>
      </c>
      <c r="I96" s="19" t="s">
        <v>146</v>
      </c>
      <c r="K96" s="19" t="s">
        <v>146</v>
      </c>
      <c r="M96" s="19" t="s">
        <v>146</v>
      </c>
    </row>
    <row r="97" spans="1:14" ht="63">
      <c r="A97" s="19" t="s">
        <v>120</v>
      </c>
      <c r="B97" s="19" t="s">
        <v>199</v>
      </c>
      <c r="C97" s="19" t="s">
        <v>179</v>
      </c>
      <c r="D97" s="19" t="s">
        <v>227</v>
      </c>
      <c r="E97" s="19" t="s">
        <v>179</v>
      </c>
      <c r="F97" s="19" t="s">
        <v>174</v>
      </c>
      <c r="G97" s="19" t="s">
        <v>179</v>
      </c>
      <c r="H97" s="19" t="s">
        <v>174</v>
      </c>
      <c r="I97" s="19" t="s">
        <v>138</v>
      </c>
      <c r="K97" s="19" t="s">
        <v>138</v>
      </c>
      <c r="M97" s="19" t="s">
        <v>138</v>
      </c>
    </row>
    <row r="98" spans="1:14" ht="42">
      <c r="A98" s="19" t="s">
        <v>120</v>
      </c>
      <c r="B98" s="19" t="s">
        <v>190</v>
      </c>
      <c r="C98" s="19" t="s">
        <v>143</v>
      </c>
      <c r="D98" s="19" t="s">
        <v>147</v>
      </c>
      <c r="E98" s="19" t="s">
        <v>143</v>
      </c>
      <c r="F98" s="19" t="s">
        <v>148</v>
      </c>
      <c r="G98" s="19" t="s">
        <v>143</v>
      </c>
      <c r="H98" s="19" t="s">
        <v>148</v>
      </c>
      <c r="I98" s="19" t="s">
        <v>139</v>
      </c>
      <c r="K98" s="19" t="s">
        <v>139</v>
      </c>
      <c r="L98" s="19" t="s">
        <v>217</v>
      </c>
      <c r="M98" s="19" t="s">
        <v>139</v>
      </c>
      <c r="N98" s="19" t="s">
        <v>217</v>
      </c>
    </row>
    <row r="99" spans="1:14" ht="42">
      <c r="A99" s="19" t="s">
        <v>120</v>
      </c>
      <c r="B99" s="19" t="s">
        <v>189</v>
      </c>
      <c r="C99" s="19" t="s">
        <v>131</v>
      </c>
      <c r="E99" s="19" t="s">
        <v>131</v>
      </c>
      <c r="G99" s="19" t="s">
        <v>131</v>
      </c>
      <c r="I99" s="19" t="s">
        <v>151</v>
      </c>
      <c r="K99" s="19" t="s">
        <v>151</v>
      </c>
      <c r="M99" s="19" t="s">
        <v>151</v>
      </c>
    </row>
    <row r="100" spans="1:14" ht="42">
      <c r="A100" s="19" t="s">
        <v>108</v>
      </c>
      <c r="B100" s="19" t="s">
        <v>122</v>
      </c>
      <c r="C100" s="19" t="s">
        <v>179</v>
      </c>
      <c r="D100" s="19" t="s">
        <v>197</v>
      </c>
      <c r="E100" s="19" t="s">
        <v>179</v>
      </c>
      <c r="F100" s="19" t="s">
        <v>174</v>
      </c>
      <c r="G100" s="19" t="s">
        <v>179</v>
      </c>
      <c r="H100" s="19" t="s">
        <v>174</v>
      </c>
      <c r="I100" s="19" t="s">
        <v>151</v>
      </c>
      <c r="K100" s="19" t="s">
        <v>151</v>
      </c>
      <c r="M100" s="19" t="s">
        <v>151</v>
      </c>
    </row>
    <row r="101" spans="1:14" ht="42">
      <c r="A101" s="19" t="s">
        <v>108</v>
      </c>
      <c r="B101" s="19" t="s">
        <v>196</v>
      </c>
      <c r="C101" s="19" t="s">
        <v>191</v>
      </c>
      <c r="D101" s="19" t="s">
        <v>147</v>
      </c>
      <c r="E101" s="19" t="s">
        <v>191</v>
      </c>
      <c r="F101" s="19" t="s">
        <v>148</v>
      </c>
      <c r="G101" s="19" t="s">
        <v>191</v>
      </c>
      <c r="H101" s="19" t="s">
        <v>148</v>
      </c>
      <c r="I101" s="19" t="s">
        <v>180</v>
      </c>
      <c r="K101" s="19" t="s">
        <v>180</v>
      </c>
      <c r="M101" s="19" t="s">
        <v>180</v>
      </c>
    </row>
    <row r="102" spans="1:14" ht="63">
      <c r="A102" s="19" t="s">
        <v>108</v>
      </c>
      <c r="B102" s="19" t="s">
        <v>129</v>
      </c>
      <c r="C102" s="19" t="s">
        <v>146</v>
      </c>
      <c r="D102" s="19" t="s">
        <v>227</v>
      </c>
      <c r="E102" s="19" t="s">
        <v>146</v>
      </c>
      <c r="F102" s="19" t="s">
        <v>174</v>
      </c>
      <c r="G102" s="19" t="s">
        <v>146</v>
      </c>
      <c r="H102" s="19" t="s">
        <v>174</v>
      </c>
      <c r="I102" s="19" t="s">
        <v>180</v>
      </c>
      <c r="K102" s="19" t="s">
        <v>180</v>
      </c>
      <c r="M102" s="19" t="s">
        <v>180</v>
      </c>
    </row>
    <row r="103" spans="1:14" ht="42">
      <c r="A103" s="19" t="s">
        <v>108</v>
      </c>
      <c r="B103" s="19" t="s">
        <v>121</v>
      </c>
      <c r="C103" s="19" t="s">
        <v>183</v>
      </c>
      <c r="D103" s="19" t="s">
        <v>216</v>
      </c>
      <c r="E103" s="19" t="s">
        <v>183</v>
      </c>
      <c r="F103" s="19" t="s">
        <v>216</v>
      </c>
      <c r="G103" s="19" t="s">
        <v>183</v>
      </c>
      <c r="H103" s="19" t="s">
        <v>216</v>
      </c>
      <c r="I103" s="19" t="s">
        <v>139</v>
      </c>
      <c r="K103" s="19" t="s">
        <v>139</v>
      </c>
      <c r="L103" s="19" t="s">
        <v>217</v>
      </c>
      <c r="M103" s="19" t="s">
        <v>139</v>
      </c>
      <c r="N103" s="19" t="s">
        <v>217</v>
      </c>
    </row>
    <row r="104" spans="1:14" ht="42">
      <c r="A104" s="19" t="s">
        <v>119</v>
      </c>
      <c r="B104" s="19" t="s">
        <v>122</v>
      </c>
      <c r="C104" s="19" t="s">
        <v>185</v>
      </c>
      <c r="E104" s="19" t="s">
        <v>185</v>
      </c>
      <c r="F104" s="19" t="s">
        <v>174</v>
      </c>
      <c r="G104" s="19" t="s">
        <v>185</v>
      </c>
      <c r="H104" s="19" t="s">
        <v>174</v>
      </c>
      <c r="I104" s="19" t="s">
        <v>180</v>
      </c>
      <c r="K104" s="19" t="s">
        <v>180</v>
      </c>
      <c r="M104" s="19" t="s">
        <v>180</v>
      </c>
    </row>
    <row r="105" spans="1:14" ht="42">
      <c r="A105" s="19" t="s">
        <v>119</v>
      </c>
      <c r="B105" s="19" t="s">
        <v>196</v>
      </c>
      <c r="C105" s="19" t="s">
        <v>179</v>
      </c>
      <c r="D105" s="19" t="s">
        <v>197</v>
      </c>
      <c r="E105" s="19" t="s">
        <v>179</v>
      </c>
      <c r="F105" s="19" t="s">
        <v>174</v>
      </c>
      <c r="G105" s="19" t="s">
        <v>179</v>
      </c>
      <c r="H105" s="19" t="s">
        <v>174</v>
      </c>
      <c r="I105" s="19" t="s">
        <v>151</v>
      </c>
      <c r="K105" s="19" t="s">
        <v>151</v>
      </c>
      <c r="M105" s="19" t="s">
        <v>151</v>
      </c>
    </row>
    <row r="106" spans="1:14" ht="63">
      <c r="A106" s="19" t="s">
        <v>119</v>
      </c>
      <c r="B106" s="19" t="s">
        <v>129</v>
      </c>
      <c r="C106" s="19" t="s">
        <v>179</v>
      </c>
      <c r="D106" s="19" t="s">
        <v>226</v>
      </c>
      <c r="E106" s="19" t="s">
        <v>179</v>
      </c>
      <c r="F106" s="19" t="s">
        <v>174</v>
      </c>
      <c r="G106" s="19" t="s">
        <v>179</v>
      </c>
      <c r="H106" s="19" t="s">
        <v>174</v>
      </c>
      <c r="I106" s="19" t="s">
        <v>191</v>
      </c>
      <c r="K106" s="19" t="s">
        <v>191</v>
      </c>
      <c r="L106" s="19" t="s">
        <v>174</v>
      </c>
      <c r="M106" s="19" t="s">
        <v>191</v>
      </c>
      <c r="N106" s="19" t="s">
        <v>174</v>
      </c>
    </row>
    <row r="107" spans="1:14" ht="42">
      <c r="A107" s="19" t="s">
        <v>119</v>
      </c>
      <c r="B107" s="19" t="s">
        <v>121</v>
      </c>
      <c r="C107" s="19" t="s">
        <v>185</v>
      </c>
      <c r="D107" s="19" t="s">
        <v>218</v>
      </c>
      <c r="E107" s="19" t="s">
        <v>185</v>
      </c>
      <c r="F107" s="19" t="s">
        <v>220</v>
      </c>
      <c r="G107" s="19" t="s">
        <v>185</v>
      </c>
      <c r="H107" s="19" t="s">
        <v>220</v>
      </c>
      <c r="I107" s="19" t="s">
        <v>151</v>
      </c>
      <c r="K107" s="19" t="s">
        <v>151</v>
      </c>
      <c r="L107" s="19" t="s">
        <v>221</v>
      </c>
      <c r="M107" s="19" t="s">
        <v>151</v>
      </c>
      <c r="N107" s="19" t="s">
        <v>221</v>
      </c>
    </row>
    <row r="108" spans="1:14" ht="63">
      <c r="A108" s="19" t="s">
        <v>116</v>
      </c>
      <c r="B108" s="19" t="s">
        <v>122</v>
      </c>
      <c r="C108" s="19" t="s">
        <v>185</v>
      </c>
      <c r="D108" s="19" t="s">
        <v>227</v>
      </c>
      <c r="E108" s="19" t="s">
        <v>185</v>
      </c>
      <c r="F108" s="19" t="s">
        <v>174</v>
      </c>
      <c r="G108" s="19" t="s">
        <v>185</v>
      </c>
      <c r="H108" s="19" t="s">
        <v>174</v>
      </c>
      <c r="I108" s="19" t="s">
        <v>131</v>
      </c>
      <c r="K108" s="19" t="s">
        <v>131</v>
      </c>
      <c r="M108" s="19" t="s">
        <v>131</v>
      </c>
    </row>
    <row r="109" spans="1:14" ht="42">
      <c r="A109" s="19" t="s">
        <v>116</v>
      </c>
      <c r="B109" s="19" t="s">
        <v>196</v>
      </c>
      <c r="C109" s="19" t="s">
        <v>183</v>
      </c>
      <c r="E109" s="19" t="s">
        <v>183</v>
      </c>
      <c r="G109" s="19" t="s">
        <v>183</v>
      </c>
      <c r="I109" s="19" t="s">
        <v>151</v>
      </c>
      <c r="K109" s="19" t="s">
        <v>151</v>
      </c>
      <c r="M109" s="19" t="s">
        <v>151</v>
      </c>
    </row>
    <row r="110" spans="1:14" ht="42">
      <c r="A110" s="19" t="s">
        <v>116</v>
      </c>
      <c r="B110" s="19" t="s">
        <v>129</v>
      </c>
      <c r="C110" s="19" t="s">
        <v>179</v>
      </c>
      <c r="D110" s="19" t="s">
        <v>228</v>
      </c>
      <c r="E110" s="19" t="s">
        <v>179</v>
      </c>
      <c r="G110" s="19" t="s">
        <v>179</v>
      </c>
      <c r="I110" s="19" t="s">
        <v>139</v>
      </c>
      <c r="K110" s="19" t="s">
        <v>139</v>
      </c>
      <c r="L110" s="19" t="s">
        <v>174</v>
      </c>
      <c r="M110" s="19" t="s">
        <v>139</v>
      </c>
      <c r="N110" s="19" t="s">
        <v>174</v>
      </c>
    </row>
    <row r="111" spans="1:14" ht="42">
      <c r="A111" s="19" t="s">
        <v>116</v>
      </c>
      <c r="B111" s="19" t="s">
        <v>121</v>
      </c>
      <c r="C111" s="19" t="s">
        <v>179</v>
      </c>
      <c r="D111" s="19" t="s">
        <v>218</v>
      </c>
      <c r="E111" s="19" t="s">
        <v>179</v>
      </c>
      <c r="F111" s="19" t="s">
        <v>220</v>
      </c>
      <c r="G111" s="19" t="s">
        <v>179</v>
      </c>
      <c r="H111" s="19" t="s">
        <v>220</v>
      </c>
      <c r="I111" s="19" t="s">
        <v>151</v>
      </c>
      <c r="K111" s="19" t="s">
        <v>151</v>
      </c>
      <c r="L111" s="19" t="s">
        <v>221</v>
      </c>
      <c r="M111" s="19" t="s">
        <v>151</v>
      </c>
      <c r="N111" s="19" t="s">
        <v>221</v>
      </c>
    </row>
    <row r="112" spans="1:14" ht="63">
      <c r="A112" s="19" t="s">
        <v>192</v>
      </c>
      <c r="B112" s="19" t="s">
        <v>122</v>
      </c>
      <c r="C112" s="19" t="s">
        <v>179</v>
      </c>
      <c r="D112" s="19" t="s">
        <v>227</v>
      </c>
      <c r="E112" s="19" t="s">
        <v>179</v>
      </c>
      <c r="F112" s="19" t="s">
        <v>174</v>
      </c>
      <c r="G112" s="19" t="s">
        <v>179</v>
      </c>
      <c r="H112" s="19" t="s">
        <v>174</v>
      </c>
      <c r="I112" s="19" t="s">
        <v>143</v>
      </c>
      <c r="K112" s="19" t="s">
        <v>143</v>
      </c>
      <c r="M112" s="19" t="s">
        <v>143</v>
      </c>
    </row>
    <row r="113" spans="1:14" ht="42">
      <c r="A113" s="19" t="s">
        <v>192</v>
      </c>
      <c r="B113" s="19" t="s">
        <v>196</v>
      </c>
      <c r="C113" s="19" t="s">
        <v>183</v>
      </c>
      <c r="E113" s="19" t="s">
        <v>183</v>
      </c>
      <c r="F113" s="19" t="s">
        <v>174</v>
      </c>
      <c r="G113" s="19" t="s">
        <v>183</v>
      </c>
      <c r="H113" s="19" t="s">
        <v>174</v>
      </c>
      <c r="I113" s="19" t="s">
        <v>139</v>
      </c>
      <c r="K113" s="19" t="s">
        <v>139</v>
      </c>
      <c r="M113" s="19" t="s">
        <v>139</v>
      </c>
    </row>
    <row r="114" spans="1:14" ht="42">
      <c r="A114" s="19" t="s">
        <v>192</v>
      </c>
      <c r="B114" s="19" t="s">
        <v>129</v>
      </c>
      <c r="C114" s="19" t="s">
        <v>185</v>
      </c>
      <c r="D114" s="19" t="s">
        <v>228</v>
      </c>
      <c r="E114" s="19" t="s">
        <v>185</v>
      </c>
      <c r="F114" s="19" t="s">
        <v>228</v>
      </c>
      <c r="G114" s="19" t="s">
        <v>185</v>
      </c>
      <c r="H114" s="19" t="s">
        <v>228</v>
      </c>
      <c r="I114" s="19" t="s">
        <v>139</v>
      </c>
      <c r="K114" s="19" t="s">
        <v>139</v>
      </c>
      <c r="L114" s="19" t="s">
        <v>197</v>
      </c>
      <c r="M114" s="19" t="s">
        <v>139</v>
      </c>
      <c r="N114" s="19" t="s">
        <v>197</v>
      </c>
    </row>
    <row r="115" spans="1:14" ht="42">
      <c r="A115" s="19" t="s">
        <v>192</v>
      </c>
      <c r="B115" s="19" t="s">
        <v>121</v>
      </c>
      <c r="C115" s="19" t="s">
        <v>183</v>
      </c>
      <c r="D115" s="19" t="s">
        <v>216</v>
      </c>
      <c r="E115" s="19" t="s">
        <v>183</v>
      </c>
      <c r="F115" s="19" t="s">
        <v>216</v>
      </c>
      <c r="G115" s="19" t="s">
        <v>183</v>
      </c>
      <c r="H115" s="19" t="s">
        <v>216</v>
      </c>
      <c r="I115" s="19" t="s">
        <v>180</v>
      </c>
      <c r="K115" s="19" t="s">
        <v>180</v>
      </c>
      <c r="L115" s="19" t="s">
        <v>217</v>
      </c>
      <c r="M115" s="19" t="s">
        <v>180</v>
      </c>
      <c r="N115" s="19" t="s">
        <v>217</v>
      </c>
    </row>
  </sheetData>
  <autoFilter ref="A2:N2" xr:uid="{06F2204D-767C-6545-BBF8-89DE90B18D86}"/>
  <sortState xmlns:xlrd2="http://schemas.microsoft.com/office/spreadsheetml/2017/richdata2" ref="A3:N115">
    <sortCondition ref="A3:A115" customList="リドル,エース,デュース,ケイト,トレイ,レオナ,ジャック,ラギー,アズール,ジェイド,フロイド,カリム,ジャミル,ヴィル,ルーク,エペル,イデア,オルト,マレウス,シルバー,セベク,リリア"/>
    <sortCondition ref="B3:B115" customList="制服,運動着,実験着,式典服,寮服"/>
  </sortState>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86F4EC-AF45-6443-9339-B60185D8827B}">
  <sheetPr codeName="Sheet2"/>
  <dimension ref="A1:E16"/>
  <sheetViews>
    <sheetView workbookViewId="0">
      <pane ySplit="1" topLeftCell="A2" activePane="bottomLeft" state="frozen"/>
      <selection pane="bottomLeft" activeCell="C8" sqref="C8"/>
    </sheetView>
  </sheetViews>
  <sheetFormatPr baseColWidth="10" defaultRowHeight="20"/>
  <cols>
    <col min="1" max="1" width="21.42578125" customWidth="1"/>
    <col min="3" max="3" width="25.28515625" customWidth="1"/>
  </cols>
  <sheetData>
    <row r="1" spans="1:5">
      <c r="A1" t="s">
        <v>13</v>
      </c>
      <c r="B1" t="s">
        <v>12</v>
      </c>
      <c r="C1" t="s">
        <v>14</v>
      </c>
      <c r="D1" t="s">
        <v>79</v>
      </c>
      <c r="E1" t="s">
        <v>90</v>
      </c>
    </row>
    <row r="2" spans="1:5">
      <c r="A2" t="s">
        <v>10</v>
      </c>
      <c r="B2" t="s">
        <v>15</v>
      </c>
      <c r="C2" t="s">
        <v>16</v>
      </c>
      <c r="D2" t="s">
        <v>86</v>
      </c>
      <c r="E2">
        <v>1</v>
      </c>
    </row>
    <row r="3" spans="1:5">
      <c r="A3" t="s">
        <v>180</v>
      </c>
      <c r="B3" t="s">
        <v>15</v>
      </c>
      <c r="C3" t="s">
        <v>52</v>
      </c>
      <c r="D3" t="s">
        <v>86</v>
      </c>
      <c r="E3">
        <v>2</v>
      </c>
    </row>
    <row r="4" spans="1:5">
      <c r="A4" t="s">
        <v>36</v>
      </c>
      <c r="B4" t="s">
        <v>15</v>
      </c>
      <c r="C4" t="s">
        <v>37</v>
      </c>
      <c r="D4" t="s">
        <v>87</v>
      </c>
      <c r="E4">
        <v>1</v>
      </c>
    </row>
    <row r="5" spans="1:5">
      <c r="A5" t="s">
        <v>181</v>
      </c>
      <c r="B5" t="s">
        <v>15</v>
      </c>
      <c r="C5" t="s">
        <v>63</v>
      </c>
      <c r="D5" t="s">
        <v>87</v>
      </c>
      <c r="E5">
        <v>2</v>
      </c>
    </row>
    <row r="6" spans="1:5">
      <c r="A6" t="s">
        <v>27</v>
      </c>
      <c r="B6" t="s">
        <v>22</v>
      </c>
      <c r="C6" t="s">
        <v>59</v>
      </c>
      <c r="D6" t="s">
        <v>87</v>
      </c>
      <c r="E6">
        <v>1</v>
      </c>
    </row>
    <row r="7" spans="1:5">
      <c r="A7" t="s">
        <v>235</v>
      </c>
      <c r="B7" t="s">
        <v>22</v>
      </c>
      <c r="C7" t="s">
        <v>236</v>
      </c>
      <c r="D7" t="s">
        <v>91</v>
      </c>
      <c r="E7">
        <v>2</v>
      </c>
    </row>
    <row r="8" spans="1:5">
      <c r="A8" t="s">
        <v>23</v>
      </c>
      <c r="B8" t="s">
        <v>22</v>
      </c>
      <c r="C8" t="s">
        <v>66</v>
      </c>
      <c r="D8" t="s">
        <v>86</v>
      </c>
      <c r="E8">
        <v>1</v>
      </c>
    </row>
    <row r="9" spans="1:5">
      <c r="A9" t="s">
        <v>139</v>
      </c>
      <c r="B9" t="s">
        <v>22</v>
      </c>
      <c r="C9" t="s">
        <v>24</v>
      </c>
      <c r="D9" t="s">
        <v>86</v>
      </c>
      <c r="E9">
        <v>2</v>
      </c>
    </row>
    <row r="10" spans="1:5">
      <c r="A10" t="s">
        <v>41</v>
      </c>
      <c r="B10" t="s">
        <v>17</v>
      </c>
      <c r="C10" t="s">
        <v>43</v>
      </c>
      <c r="D10" t="s">
        <v>91</v>
      </c>
      <c r="E10">
        <v>1</v>
      </c>
    </row>
    <row r="11" spans="1:5">
      <c r="A11" t="s">
        <v>182</v>
      </c>
      <c r="B11" t="s">
        <v>17</v>
      </c>
      <c r="C11" t="s">
        <v>103</v>
      </c>
      <c r="D11" t="s">
        <v>91</v>
      </c>
      <c r="E11">
        <v>2</v>
      </c>
    </row>
    <row r="12" spans="1:5">
      <c r="A12" t="s">
        <v>20</v>
      </c>
      <c r="B12" t="s">
        <v>17</v>
      </c>
      <c r="C12" t="s">
        <v>60</v>
      </c>
      <c r="D12" t="s">
        <v>86</v>
      </c>
      <c r="E12">
        <v>1</v>
      </c>
    </row>
    <row r="13" spans="1:5">
      <c r="A13" t="s">
        <v>151</v>
      </c>
      <c r="B13" t="s">
        <v>17</v>
      </c>
      <c r="C13" t="s">
        <v>18</v>
      </c>
      <c r="D13" t="s">
        <v>86</v>
      </c>
      <c r="E13">
        <v>2</v>
      </c>
    </row>
    <row r="14" spans="1:5">
      <c r="A14" t="s">
        <v>44</v>
      </c>
      <c r="B14" t="s">
        <v>47</v>
      </c>
      <c r="C14" t="s">
        <v>61</v>
      </c>
      <c r="D14" t="s">
        <v>91</v>
      </c>
      <c r="E14">
        <v>1</v>
      </c>
    </row>
    <row r="15" spans="1:5">
      <c r="A15" t="s">
        <v>64</v>
      </c>
      <c r="B15" t="s">
        <v>47</v>
      </c>
      <c r="C15" t="s">
        <v>65</v>
      </c>
      <c r="D15" t="s">
        <v>86</v>
      </c>
      <c r="E15">
        <v>1</v>
      </c>
    </row>
    <row r="16" spans="1:5">
      <c r="A16" t="s">
        <v>184</v>
      </c>
      <c r="B16" t="s">
        <v>47</v>
      </c>
      <c r="C16" t="s">
        <v>57</v>
      </c>
      <c r="D16" t="s">
        <v>86</v>
      </c>
      <c r="E16">
        <v>2</v>
      </c>
    </row>
  </sheetData>
  <sortState xmlns:xlrd2="http://schemas.microsoft.com/office/spreadsheetml/2017/richdata2" ref="A2:D16">
    <sortCondition ref="A2:A16"/>
  </sortState>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669F3C-92D1-AA42-825D-9113B155D05C}">
  <dimension ref="B2:C25"/>
  <sheetViews>
    <sheetView workbookViewId="0">
      <selection activeCell="E15" sqref="E15"/>
    </sheetView>
  </sheetViews>
  <sheetFormatPr baseColWidth="10" defaultRowHeight="20"/>
  <sheetData>
    <row r="2" spans="2:3">
      <c r="B2" t="s">
        <v>0</v>
      </c>
      <c r="C2" t="s">
        <v>8</v>
      </c>
    </row>
    <row r="3" spans="2:3">
      <c r="B3" t="s">
        <v>240</v>
      </c>
      <c r="C3" t="s">
        <v>240</v>
      </c>
    </row>
    <row r="4" spans="2:3">
      <c r="B4" t="s">
        <v>6</v>
      </c>
      <c r="C4" t="s">
        <v>9</v>
      </c>
    </row>
    <row r="5" spans="2:3">
      <c r="B5" t="s">
        <v>32</v>
      </c>
      <c r="C5" t="s">
        <v>19</v>
      </c>
    </row>
    <row r="6" spans="2:3">
      <c r="B6" t="s">
        <v>21</v>
      </c>
      <c r="C6" t="s">
        <v>25</v>
      </c>
    </row>
    <row r="7" spans="2:3">
      <c r="B7" t="s">
        <v>30</v>
      </c>
      <c r="C7" t="s">
        <v>29</v>
      </c>
    </row>
    <row r="8" spans="2:3">
      <c r="B8" t="s">
        <v>11</v>
      </c>
      <c r="C8" t="s">
        <v>33</v>
      </c>
    </row>
    <row r="9" spans="2:3">
      <c r="B9" t="s">
        <v>42</v>
      </c>
      <c r="C9" t="s">
        <v>55</v>
      </c>
    </row>
    <row r="10" spans="2:3">
      <c r="B10" t="s">
        <v>49</v>
      </c>
      <c r="C10" t="s">
        <v>58</v>
      </c>
    </row>
    <row r="11" spans="2:3">
      <c r="B11" t="s">
        <v>45</v>
      </c>
      <c r="C11" t="s">
        <v>74</v>
      </c>
    </row>
    <row r="12" spans="2:3">
      <c r="B12" t="s">
        <v>53</v>
      </c>
      <c r="C12" t="s">
        <v>241</v>
      </c>
    </row>
    <row r="13" spans="2:3">
      <c r="B13" t="s">
        <v>50</v>
      </c>
    </row>
    <row r="14" spans="2:3">
      <c r="B14" t="s">
        <v>62</v>
      </c>
    </row>
    <row r="15" spans="2:3">
      <c r="B15" t="s">
        <v>48</v>
      </c>
    </row>
    <row r="16" spans="2:3">
      <c r="B16" t="s">
        <v>28</v>
      </c>
    </row>
    <row r="17" spans="2:2">
      <c r="B17" t="s">
        <v>67</v>
      </c>
    </row>
    <row r="18" spans="2:2">
      <c r="B18" t="s">
        <v>51</v>
      </c>
    </row>
    <row r="19" spans="2:2">
      <c r="B19" t="s">
        <v>54</v>
      </c>
    </row>
    <row r="20" spans="2:2">
      <c r="B20" t="s">
        <v>31</v>
      </c>
    </row>
    <row r="21" spans="2:2">
      <c r="B21" t="s">
        <v>46</v>
      </c>
    </row>
    <row r="22" spans="2:2">
      <c r="B22" t="s">
        <v>56</v>
      </c>
    </row>
    <row r="23" spans="2:2">
      <c r="B23" t="s">
        <v>70</v>
      </c>
    </row>
    <row r="24" spans="2:2">
      <c r="B24" t="s">
        <v>68</v>
      </c>
    </row>
    <row r="25" spans="2:2">
      <c r="B25" t="s">
        <v>71</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02075-A11B-054E-BB84-F614F0003441}">
  <sheetPr codeName="Sheet4"/>
  <dimension ref="B1:AD42"/>
  <sheetViews>
    <sheetView zoomScale="75" workbookViewId="0">
      <selection activeCell="Q46" sqref="Q46"/>
    </sheetView>
  </sheetViews>
  <sheetFormatPr baseColWidth="10" defaultRowHeight="20"/>
  <cols>
    <col min="2" max="2" width="14.7109375" customWidth="1"/>
    <col min="4" max="4" width="5.42578125" customWidth="1"/>
    <col min="6" max="6" width="5.42578125" customWidth="1"/>
    <col min="7" max="8" width="3.28515625" customWidth="1"/>
    <col min="10" max="10" width="5.42578125" customWidth="1"/>
    <col min="12" max="12" width="5.42578125" customWidth="1"/>
    <col min="13" max="14" width="3.28515625" customWidth="1"/>
    <col min="16" max="16" width="5.42578125" customWidth="1"/>
    <col min="18" max="18" width="5.42578125" customWidth="1"/>
    <col min="19" max="20" width="3.28515625" customWidth="1"/>
    <col min="22" max="22" width="5.42578125" customWidth="1"/>
    <col min="24" max="24" width="5.42578125" customWidth="1"/>
    <col min="25" max="26" width="3.28515625" customWidth="1"/>
    <col min="28" max="28" width="5.42578125" customWidth="1"/>
    <col min="30" max="30" width="5.42578125" customWidth="1"/>
  </cols>
  <sheetData>
    <row r="1" spans="2:30" ht="21" thickBot="1"/>
    <row r="2" spans="2:30">
      <c r="C2" s="51" t="s">
        <v>0</v>
      </c>
      <c r="D2" s="52"/>
      <c r="E2" s="52" t="s">
        <v>8</v>
      </c>
      <c r="F2" s="53"/>
      <c r="G2" s="59"/>
      <c r="H2" s="60"/>
      <c r="I2" s="51" t="s">
        <v>0</v>
      </c>
      <c r="J2" s="52"/>
      <c r="K2" s="52" t="s">
        <v>8</v>
      </c>
      <c r="L2" s="53"/>
      <c r="M2" s="59"/>
      <c r="N2" s="60"/>
      <c r="O2" s="51" t="s">
        <v>0</v>
      </c>
      <c r="P2" s="52"/>
      <c r="Q2" s="52" t="s">
        <v>8</v>
      </c>
      <c r="R2" s="53"/>
      <c r="S2" s="59"/>
      <c r="T2" s="60"/>
      <c r="U2" s="51" t="s">
        <v>0</v>
      </c>
      <c r="V2" s="52"/>
      <c r="W2" s="52" t="s">
        <v>8</v>
      </c>
      <c r="X2" s="53"/>
      <c r="Y2" s="59"/>
      <c r="Z2" s="60"/>
      <c r="AA2" s="51" t="s">
        <v>0</v>
      </c>
      <c r="AB2" s="52"/>
      <c r="AC2" s="52" t="s">
        <v>8</v>
      </c>
      <c r="AD2" s="53"/>
    </row>
    <row r="3" spans="2:30" ht="22" customHeight="1" thickBot="1">
      <c r="C3" s="84"/>
      <c r="D3" s="71"/>
      <c r="E3" s="71"/>
      <c r="F3" s="72"/>
      <c r="G3" s="59"/>
      <c r="H3" s="60"/>
      <c r="I3" s="84"/>
      <c r="J3" s="71"/>
      <c r="K3" s="71"/>
      <c r="L3" s="72"/>
      <c r="M3" s="59"/>
      <c r="N3" s="60"/>
      <c r="O3" s="84"/>
      <c r="P3" s="71"/>
      <c r="Q3" s="71"/>
      <c r="R3" s="72"/>
      <c r="S3" s="59"/>
      <c r="T3" s="60"/>
      <c r="U3" s="84"/>
      <c r="V3" s="71"/>
      <c r="W3" s="71"/>
      <c r="X3" s="72"/>
      <c r="Y3" s="59"/>
      <c r="Z3" s="60"/>
      <c r="AA3" s="84"/>
      <c r="AB3" s="71"/>
      <c r="AC3" s="71"/>
      <c r="AD3" s="72"/>
    </row>
    <row r="4" spans="2:30" ht="22" customHeight="1" thickBot="1">
      <c r="C4" s="5"/>
      <c r="D4" s="5"/>
      <c r="F4" s="5"/>
      <c r="G4" s="83"/>
      <c r="H4" s="83"/>
      <c r="I4" s="5"/>
      <c r="J4" s="5"/>
      <c r="L4" s="5"/>
      <c r="M4" s="83"/>
      <c r="N4" s="83"/>
      <c r="O4" s="5"/>
      <c r="P4" s="5"/>
      <c r="R4" s="5"/>
      <c r="S4" s="83"/>
      <c r="T4" s="83"/>
      <c r="U4" s="5"/>
      <c r="V4" s="5"/>
      <c r="X4" s="5"/>
      <c r="Y4" s="83"/>
      <c r="Z4" s="83"/>
      <c r="AA4" s="5"/>
      <c r="AB4" s="5"/>
      <c r="AD4" s="5"/>
    </row>
    <row r="5" spans="2:30" ht="21" thickBot="1">
      <c r="B5" s="9"/>
      <c r="C5" s="65" t="s">
        <v>75</v>
      </c>
      <c r="D5" s="66"/>
      <c r="E5" s="66"/>
      <c r="F5" s="67"/>
      <c r="G5" s="59"/>
      <c r="H5" s="60"/>
      <c r="I5" s="65" t="s">
        <v>75</v>
      </c>
      <c r="J5" s="66"/>
      <c r="K5" s="66"/>
      <c r="L5" s="67"/>
      <c r="M5" s="59"/>
      <c r="N5" s="60"/>
      <c r="O5" s="65" t="s">
        <v>75</v>
      </c>
      <c r="P5" s="66"/>
      <c r="Q5" s="66"/>
      <c r="R5" s="67"/>
      <c r="S5" s="59"/>
      <c r="T5" s="60"/>
      <c r="U5" s="65" t="s">
        <v>75</v>
      </c>
      <c r="V5" s="66"/>
      <c r="W5" s="66"/>
      <c r="X5" s="67"/>
      <c r="Y5" s="59"/>
      <c r="Z5" s="60"/>
      <c r="AA5" s="65" t="s">
        <v>75</v>
      </c>
      <c r="AB5" s="66"/>
      <c r="AC5" s="66"/>
      <c r="AD5" s="67"/>
    </row>
    <row r="6" spans="2:30" ht="21" thickBot="1">
      <c r="B6" s="7" t="s">
        <v>80</v>
      </c>
      <c r="C6" s="57"/>
      <c r="D6" s="68"/>
      <c r="E6" s="68"/>
      <c r="F6" s="58"/>
      <c r="G6" s="59"/>
      <c r="H6" s="60"/>
      <c r="I6" s="57"/>
      <c r="J6" s="68"/>
      <c r="K6" s="68"/>
      <c r="L6" s="58"/>
      <c r="M6" s="59"/>
      <c r="N6" s="60"/>
      <c r="O6" s="57"/>
      <c r="P6" s="68"/>
      <c r="Q6" s="68"/>
      <c r="R6" s="58"/>
      <c r="S6" s="59"/>
      <c r="T6" s="60"/>
      <c r="U6" s="57"/>
      <c r="V6" s="68"/>
      <c r="W6" s="68"/>
      <c r="X6" s="58"/>
      <c r="Y6" s="59"/>
      <c r="Z6" s="60"/>
      <c r="AA6" s="57"/>
      <c r="AB6" s="68"/>
      <c r="AC6" s="68"/>
      <c r="AD6" s="58"/>
    </row>
    <row r="7" spans="2:30">
      <c r="B7" s="46" t="s">
        <v>77</v>
      </c>
      <c r="C7" s="29" t="str">
        <f>IF(COUNTIF($C$3:$AD$3,DGET(カード一覧!$A:$M,カード一覧!$M$1,C2:F3))&gt;0, DGET(カード一覧!$A:$M,カード一覧!$M$1,C2:F3), IF(COUNTIF($C$3:$AD$3,DGET(カード一覧!$A:$M,カード一覧!$L$1,C2:F3))&gt;0, DGET(カード一覧!$A:$M,カード一覧!$L$1,C2:F3), "カード選択"))</f>
        <v>カード選択</v>
      </c>
      <c r="D7" s="30" t="str">
        <f>IF(COUNTIF($C$3:$AD$3,DGET(カード一覧!$A:$M,カード一覧!$M$1,C2:F3))&gt;0, "中", IF(COUNTIF($C$3:$AD$3,DGET(カード一覧!$A:$L,カード一覧!$L$1,C2:F3))&gt;0, "小", "-"))</f>
        <v>-</v>
      </c>
      <c r="E7" s="69"/>
      <c r="F7" s="70"/>
      <c r="G7" s="59"/>
      <c r="H7" s="60"/>
      <c r="I7" s="29" t="str">
        <f>IF(COUNTIF($C$3:$AD$3,DGET(カード一覧!$A:$M,カード一覧!$M$1,I2:L3))&gt;0, DGET(カード一覧!$A:$M,カード一覧!$M$1,I2:L3), IF(COUNTIF($C$3:$AD$3,DGET(カード一覧!$A:$M,カード一覧!$L$1,I2:L3))&gt;0, DGET(カード一覧!$A:$M,カード一覧!$L$1,I2:L3), "カード選択"))</f>
        <v>カード選択</v>
      </c>
      <c r="J7" s="30" t="str">
        <f>IF(COUNTIF($C$3:$AD$3,DGET(カード一覧!$A:$M,カード一覧!$M$1,I2:L3))&gt;0, "中", IF(COUNTIF($C$3:$AD$3,DGET(カード一覧!$A:$L,カード一覧!$L$1,I2:L3))&gt;0, "小", "-"))</f>
        <v>-</v>
      </c>
      <c r="K7" s="69"/>
      <c r="L7" s="70"/>
      <c r="M7" s="59"/>
      <c r="N7" s="60"/>
      <c r="O7" s="29" t="str">
        <f>IF(COUNTIF($C$3:$AD$3,DGET(カード一覧!$A:$M,カード一覧!$M$1,O2:R3))&gt;0, DGET(カード一覧!$A:$M,カード一覧!$M$1,O2:R3), IF(COUNTIF($C$3:$AD$3,DGET(カード一覧!$A:$M,カード一覧!$L$1,O2:R3))&gt;0, DGET(カード一覧!$A:$M,カード一覧!$L$1,O2:R3), "カード選択"))</f>
        <v>カード選択</v>
      </c>
      <c r="P7" s="30" t="str">
        <f>IF(COUNTIF($C$3:$AD$3,DGET(カード一覧!$A:$M,カード一覧!$M$1,O2:R3))&gt;0, "中", IF(COUNTIF($C$3:$AD$3,DGET(カード一覧!$A:$L,カード一覧!$L$1,O2:R3))&gt;0, "小", "-"))</f>
        <v>-</v>
      </c>
      <c r="Q7" s="69"/>
      <c r="R7" s="70"/>
      <c r="S7" s="59"/>
      <c r="T7" s="60"/>
      <c r="U7" s="29" t="str">
        <f>IF(COUNTIF($C$3:$AD$3,DGET(カード一覧!$A:$M,カード一覧!$M$1,U2:X3))&gt;0, DGET(カード一覧!$A:$M,カード一覧!$M$1,U2:X3), IF(COUNTIF($C$3:$AD$3,DGET(カード一覧!$A:$M,カード一覧!$L$1,U2:X3))&gt;0, DGET(カード一覧!$A:$M,カード一覧!$L$1,U2:X3), "カード選択"))</f>
        <v>カード選択</v>
      </c>
      <c r="V7" s="30" t="str">
        <f>IF(COUNTIF($C$3:$AD$3,DGET(カード一覧!$A:$M,カード一覧!$M$1,U2:X3))&gt;0, "中", IF(COUNTIF($C$3:$AD$3,DGET(カード一覧!$A:$L,カード一覧!$L$1,U2:X3))&gt;0, "小", "-"))</f>
        <v>-</v>
      </c>
      <c r="W7" s="69"/>
      <c r="X7" s="70"/>
      <c r="Y7" s="59"/>
      <c r="Z7" s="60"/>
      <c r="AA7" s="29" t="str">
        <f>IF(COUNTIF($C$3:$AD$3,DGET(カード一覧!$A:$M,カード一覧!$M$1,AA2:AD3))&gt;0, DGET(カード一覧!$A:$M,カード一覧!$M$1,AA2:AD3), IF(COUNTIF($C$3:$AD$3,DGET(カード一覧!$A:$M,カード一覧!$L$1,AA2:AD3))&gt;0, DGET(カード一覧!$A:$M,カード一覧!$L$1,AA2:AD3), "カード選択"))</f>
        <v>カード選択</v>
      </c>
      <c r="AB7" s="30" t="str">
        <f>IF(COUNTIF($C$3:$AD$3,DGET(カード一覧!$A:$M,カード一覧!$M$1,AA2:AD3))&gt;0, "中", IF(COUNTIF($C$3:$AD$3,DGET(カード一覧!$A:$L,カード一覧!$L$1,AA2:AD3))&gt;0, "小", "-"))</f>
        <v>-</v>
      </c>
      <c r="AC7" s="69"/>
      <c r="AD7" s="70"/>
    </row>
    <row r="8" spans="2:30" ht="21" thickBot="1">
      <c r="B8" s="47"/>
      <c r="C8" s="31" t="str">
        <f>IF(COUNTIF($C$3:$AD$3,DGET(カード一覧!$A:$M,カード一覧!$K$1,C2:F3))&gt;0, DGET(カード一覧!$A:$M,カード一覧!$K$1,C2:F3), "カード選択")</f>
        <v>カード選択</v>
      </c>
      <c r="D8" s="32" t="str">
        <f>IF(COUNTIF($C$3:$AD$3,DGET(カード一覧!$A:$M,カード一覧!$K$1,C2:F3))&gt;0,"小","-")</f>
        <v>-</v>
      </c>
      <c r="E8" s="71"/>
      <c r="F8" s="72"/>
      <c r="G8" s="59"/>
      <c r="H8" s="60"/>
      <c r="I8" s="31" t="str">
        <f>IF(COUNTIF($C$3:$AD$3,DGET(カード一覧!$A:$M,カード一覧!$K$1,I2:L3))&gt;0, DGET(カード一覧!$A:$M,カード一覧!$K$1,I2:L3), "カード選択")</f>
        <v>カード選択</v>
      </c>
      <c r="J8" s="32" t="str">
        <f>IF(COUNTIF($C$3:$AD$3,DGET(カード一覧!$A:$M,カード一覧!$K$1,I2:L3))&gt;0,"小","-")</f>
        <v>-</v>
      </c>
      <c r="K8" s="71"/>
      <c r="L8" s="72"/>
      <c r="M8" s="59"/>
      <c r="N8" s="60"/>
      <c r="O8" s="31" t="str">
        <f>IF(COUNTIF($C$3:$AD$3,DGET(カード一覧!$A:$M,カード一覧!$K$1,O2:R3))&gt;0, DGET(カード一覧!$A:$M,カード一覧!$K$1,O2:R3), "カード選択")</f>
        <v>カード選択</v>
      </c>
      <c r="P8" s="32" t="str">
        <f>IF(COUNTIF($C$3:$AD$3,DGET(カード一覧!$A:$M,カード一覧!$K$1,O2:R3))&gt;0,"小","-")</f>
        <v>-</v>
      </c>
      <c r="Q8" s="71"/>
      <c r="R8" s="72"/>
      <c r="S8" s="59"/>
      <c r="T8" s="60"/>
      <c r="U8" s="31" t="str">
        <f>IF(COUNTIF($C$3:$AD$3,DGET(カード一覧!$A:$M,カード一覧!$K$1,U2:X3))&gt;0, DGET(カード一覧!$A:$M,カード一覧!$K$1,U2:X3), "カード選択")</f>
        <v>カード選択</v>
      </c>
      <c r="V8" s="32" t="str">
        <f>IF(COUNTIF($C$3:$AD$3,DGET(カード一覧!$A:$M,カード一覧!$K$1,U2:X3))&gt;0,"小","-")</f>
        <v>-</v>
      </c>
      <c r="W8" s="71"/>
      <c r="X8" s="72"/>
      <c r="Y8" s="59"/>
      <c r="Z8" s="60"/>
      <c r="AA8" s="31" t="str">
        <f>IF(COUNTIF($C$3:$AD$3,DGET(カード一覧!$A:$M,カード一覧!$K$1,AA2:AD3))&gt;0, DGET(カード一覧!$A:$M,カード一覧!$K$1,AA2:AD3), "カード選択")</f>
        <v>カード選択</v>
      </c>
      <c r="AB8" s="32" t="str">
        <f>IF(COUNTIF($C$3:$AD$3,DGET(カード一覧!$A:$M,カード一覧!$K$1,AA2:AD3))&gt;0,"小","-")</f>
        <v>-</v>
      </c>
      <c r="AC8" s="71"/>
      <c r="AD8" s="72"/>
    </row>
    <row r="9" spans="2:30" ht="21" thickBot="1">
      <c r="B9" s="6"/>
      <c r="G9" s="83"/>
      <c r="H9" s="83"/>
      <c r="M9" s="83"/>
      <c r="N9" s="83"/>
      <c r="S9" s="83"/>
      <c r="T9" s="83"/>
      <c r="Y9" s="83"/>
      <c r="Z9" s="83"/>
    </row>
    <row r="10" spans="2:30" ht="21" thickBot="1">
      <c r="B10" s="6"/>
      <c r="C10" s="48" t="s">
        <v>76</v>
      </c>
      <c r="D10" s="73"/>
      <c r="E10" s="73"/>
      <c r="F10" s="49"/>
      <c r="G10" s="59"/>
      <c r="H10" s="60"/>
      <c r="I10" s="48" t="s">
        <v>76</v>
      </c>
      <c r="J10" s="73"/>
      <c r="K10" s="73"/>
      <c r="L10" s="49"/>
      <c r="M10" s="59"/>
      <c r="N10" s="60"/>
      <c r="O10" s="48" t="s">
        <v>76</v>
      </c>
      <c r="P10" s="73"/>
      <c r="Q10" s="73"/>
      <c r="R10" s="49"/>
      <c r="S10" s="59"/>
      <c r="T10" s="60"/>
      <c r="U10" s="48" t="s">
        <v>76</v>
      </c>
      <c r="V10" s="73"/>
      <c r="W10" s="73"/>
      <c r="X10" s="49"/>
      <c r="Y10" s="59"/>
      <c r="Z10" s="60"/>
      <c r="AA10" s="48" t="s">
        <v>76</v>
      </c>
      <c r="AB10" s="73"/>
      <c r="AC10" s="73"/>
      <c r="AD10" s="49"/>
    </row>
    <row r="11" spans="2:30" ht="21" thickBot="1">
      <c r="B11" s="14" t="s">
        <v>80</v>
      </c>
      <c r="C11" s="74"/>
      <c r="D11" s="76"/>
      <c r="E11" s="76"/>
      <c r="F11" s="75"/>
      <c r="G11" s="59"/>
      <c r="H11" s="60"/>
      <c r="I11" s="74"/>
      <c r="J11" s="76"/>
      <c r="K11" s="76"/>
      <c r="L11" s="75"/>
      <c r="M11" s="59"/>
      <c r="N11" s="60"/>
      <c r="O11" s="74"/>
      <c r="P11" s="76"/>
      <c r="Q11" s="76"/>
      <c r="R11" s="75"/>
      <c r="S11" s="59"/>
      <c r="T11" s="60"/>
      <c r="U11" s="74"/>
      <c r="V11" s="76"/>
      <c r="W11" s="76"/>
      <c r="X11" s="75"/>
      <c r="Y11" s="59"/>
      <c r="Z11" s="60"/>
      <c r="AA11" s="74"/>
      <c r="AB11" s="76"/>
      <c r="AC11" s="76"/>
      <c r="AD11" s="75"/>
    </row>
    <row r="12" spans="2:30">
      <c r="B12" s="46" t="s">
        <v>77</v>
      </c>
      <c r="C12" s="33" t="str">
        <f>IF(COUNTIF($C$3:$AD$3,DGET(カード一覧!$A:$M,カード一覧!$J$1,C2:F3))&gt;0, DGET(カード一覧!$A:$M,カード一覧!$J$1,C2:F3), "カード選択")</f>
        <v>カード選択</v>
      </c>
      <c r="D12" s="34" t="str">
        <f>IF(COUNTIF($C$3:$AD$3,DGET(カード一覧!$A:$M,カード一覧!$J$1,C2:F3))&gt;0, "中", "-")</f>
        <v>-</v>
      </c>
      <c r="E12" s="77"/>
      <c r="F12" s="78"/>
      <c r="G12" s="59"/>
      <c r="H12" s="60"/>
      <c r="I12" s="33" t="str">
        <f>IF(COUNTIF($C$3:$AD$3,DGET(カード一覧!$A:$M,カード一覧!$J$1,I2:L3))&gt;0, DGET(カード一覧!$A:$M,カード一覧!$J$1,I2:L3), "カード選択")</f>
        <v>カード選択</v>
      </c>
      <c r="J12" s="34" t="str">
        <f>IF(COUNTIF($C$3:$AD$3,DGET(カード一覧!$A:$M,カード一覧!$J$1,I2:L3))&gt;0, "中", "-")</f>
        <v>-</v>
      </c>
      <c r="K12" s="77"/>
      <c r="L12" s="78"/>
      <c r="M12" s="59"/>
      <c r="N12" s="60"/>
      <c r="O12" s="33" t="str">
        <f>IF(COUNTIF($C$3:$AD$3,DGET(カード一覧!$A:$M,カード一覧!$J$1,O2:R3))&gt;0, DGET(カード一覧!$A:$M,カード一覧!$J$1,O2:R3), "カード選択")</f>
        <v>カード選択</v>
      </c>
      <c r="P12" s="34" t="str">
        <f>IF(COUNTIF($C$3:$AD$3,DGET(カード一覧!$A:$M,カード一覧!$J$1,O2:R3))&gt;0, "中", "-")</f>
        <v>-</v>
      </c>
      <c r="Q12" s="77"/>
      <c r="R12" s="78"/>
      <c r="S12" s="59"/>
      <c r="T12" s="60"/>
      <c r="U12" s="33" t="str">
        <f>IF(COUNTIF($C$3:$AD$3,DGET(カード一覧!$A:$M,カード一覧!$J$1,U2:X3))&gt;0, DGET(カード一覧!$A:$M,カード一覧!$J$1,U2:X3), "カード選択")</f>
        <v>カード選択</v>
      </c>
      <c r="V12" s="34" t="str">
        <f>IF(COUNTIF($C$3:$AD$3,DGET(カード一覧!$A:$M,カード一覧!$J$1,U2:X3))&gt;0, "中", "-")</f>
        <v>-</v>
      </c>
      <c r="W12" s="77"/>
      <c r="X12" s="78"/>
      <c r="Y12" s="59"/>
      <c r="Z12" s="60"/>
      <c r="AA12" s="33" t="str">
        <f>IF(COUNTIF($C$3:$AD$3,DGET(カード一覧!$A:$M,カード一覧!$J$1,AA2:AD3))&gt;0, DGET(カード一覧!$A:$M,カード一覧!$J$1,AA2:AD3), "カード選択")</f>
        <v>カード選択</v>
      </c>
      <c r="AB12" s="34" t="str">
        <f>IF(COUNTIF($C$3:$AD$3,DGET(カード一覧!$A:$M,カード一覧!$J$1,AA2:AD3))&gt;0, "中", "-")</f>
        <v>-</v>
      </c>
      <c r="AC12" s="77"/>
      <c r="AD12" s="78"/>
    </row>
    <row r="13" spans="2:30" ht="21" thickBot="1">
      <c r="B13" s="47"/>
      <c r="C13" s="35" t="str">
        <f>IF(COUNTIF($C$3:$AD$3,DGET(カード一覧!$A:$M,カード一覧!$I$1,C2:F3))&gt;0, DGET(カード一覧!$A:$M,カード一覧!$I$1,C2:F3), "カード選択")</f>
        <v>カード選択</v>
      </c>
      <c r="D13" s="36" t="str">
        <f>IF(COUNTIF($C$3:$AD$3,DGET(カード一覧!$A:$M,カード一覧!$I$1,C2:F3))&gt;0, "小", "-")</f>
        <v>-</v>
      </c>
      <c r="E13" s="81"/>
      <c r="F13" s="82"/>
      <c r="G13" s="59"/>
      <c r="H13" s="60"/>
      <c r="I13" s="35" t="str">
        <f>IF(COUNTIF($C$3:$AD$3,DGET(カード一覧!$A:$M,カード一覧!$I$1,I2:L3))&gt;0, DGET(カード一覧!$A:$M,カード一覧!$I$1,I2:L3), "カード選択")</f>
        <v>カード選択</v>
      </c>
      <c r="J13" s="36" t="str">
        <f>IF(COUNTIF($C$3:$AD$3,DGET(カード一覧!$A:$M,カード一覧!$I$1,I2:L3))&gt;0, "小", "-")</f>
        <v>-</v>
      </c>
      <c r="K13" s="81"/>
      <c r="L13" s="82"/>
      <c r="M13" s="59"/>
      <c r="N13" s="60"/>
      <c r="O13" s="35" t="str">
        <f>IF(COUNTIF($C$3:$AD$3,DGET(カード一覧!$A:$M,カード一覧!$I$1,O2:R3))&gt;0, DGET(カード一覧!$A:$M,カード一覧!$I$1,O2:R3), "カード選択")</f>
        <v>カード選択</v>
      </c>
      <c r="P13" s="36" t="str">
        <f>IF(COUNTIF($C$3:$AD$3,DGET(カード一覧!$A:$M,カード一覧!$I$1,O2:R3))&gt;0, "小", "-")</f>
        <v>-</v>
      </c>
      <c r="Q13" s="81"/>
      <c r="R13" s="82"/>
      <c r="S13" s="59"/>
      <c r="T13" s="60"/>
      <c r="U13" s="35" t="str">
        <f>IF(COUNTIF($C$3:$AD$3,DGET(カード一覧!$A:$M,カード一覧!$I$1,U2:X3))&gt;0, DGET(カード一覧!$A:$M,カード一覧!$I$1,U2:X3), "カード選択")</f>
        <v>カード選択</v>
      </c>
      <c r="V13" s="36" t="str">
        <f>IF(COUNTIF($C$3:$AD$3,DGET(カード一覧!$A:$M,カード一覧!$I$1,U2:X3))&gt;0, "小", "-")</f>
        <v>-</v>
      </c>
      <c r="W13" s="81"/>
      <c r="X13" s="82"/>
      <c r="Y13" s="59"/>
      <c r="Z13" s="60"/>
      <c r="AA13" s="35" t="str">
        <f>IF(COUNTIF($C$3:$AD$3,DGET(カード一覧!$A:$M,カード一覧!$I$1,AA2:AD3))&gt;0, DGET(カード一覧!$A:$M,カード一覧!$I$1,AA2:AD3), "カード選択")</f>
        <v>カード選択</v>
      </c>
      <c r="AB13" s="36" t="str">
        <f>IF(COUNTIF($C$3:$AD$3,DGET(カード一覧!$A:$M,カード一覧!$I$1,AA2:AD3))&gt;0, "小", "-")</f>
        <v>-</v>
      </c>
      <c r="AC13" s="81"/>
      <c r="AD13" s="82"/>
    </row>
    <row r="14" spans="2:30" ht="21" thickBot="1">
      <c r="B14" s="12" t="s">
        <v>89</v>
      </c>
      <c r="C14" s="48" t="str">
        <f>IFERROR(IF(C16&lt;5, DGET(カード詳細!$A$2:$N$115,カード詳細!$C$2,C2:F3),IF(C16&lt;10, DGET(カード詳細!$A$2:$N$115,カード詳細!$E$2,C2:F3), IF(C16=10, DGET(カード詳細!A2:N115,カード詳細!$G$2,C2:F3), "カード選択"))), "カード選択")</f>
        <v>カード選択</v>
      </c>
      <c r="D14" s="49"/>
      <c r="E14" s="79" t="str">
        <f>IFERROR(IF(E16&lt;5, DGET(カード詳細!$A$2:$N$115,カード詳細!$I$2,C2:F3),IF(E16&lt;10, DGET(カード詳細!$A$2:$N$115,カード詳細!$K$2,C2:F3), IF(E16=10, DGET(カード詳細!A2:N115,カード詳細!$M$2,C2:F3), "カード選択"))), "カード選択")</f>
        <v>カード選択</v>
      </c>
      <c r="F14" s="80"/>
      <c r="G14" s="59"/>
      <c r="H14" s="60"/>
      <c r="I14" s="48" t="str">
        <f>IFERROR(IF(I16&lt;5, DGET(カード詳細!$A$2:$N$115,カード詳細!$C$2,I2:L3),IF(I16&lt;10, DGET(カード詳細!$A$2:$N$115,カード詳細!$E$2,I2:L3), IF(I16=10, DGET(カード詳細!G2:T115,カード詳細!$G$2,I2:L3), "カード選択"))), "カード選択")</f>
        <v>カード選択</v>
      </c>
      <c r="J14" s="49"/>
      <c r="K14" s="79" t="str">
        <f>IFERROR(IF(K16&lt;5, DGET(カード詳細!$A$2:$N$115,カード詳細!$I$2,I2:L3),IF(K16&lt;10, DGET(カード詳細!$A$2:$N$115,カード詳細!$K$2,I2:L3), IF(K16=10, DGET(カード詳細!G2:T115,カード詳細!$M$2,I2:L3), "カード選択"))), "カード選択")</f>
        <v>カード選択</v>
      </c>
      <c r="L14" s="80"/>
      <c r="M14" s="59"/>
      <c r="N14" s="60"/>
      <c r="O14" s="48" t="str">
        <f>IFERROR(IF(O16&lt;5, DGET(カード詳細!$A$2:$N$115,カード詳細!$C$2,O2:R3),IF(O16&lt;10, DGET(カード詳細!$A$2:$N$115,カード詳細!$E$2,O2:R3), IF(O16=10, DGET(カード詳細!M2:Z115,カード詳細!$G$2,O2:R3), "カード選択"))), "カード選択")</f>
        <v>カード選択</v>
      </c>
      <c r="P14" s="49"/>
      <c r="Q14" s="79" t="str">
        <f>IFERROR(IF(Q16&lt;5, DGET(カード詳細!$A$2:$N$115,カード詳細!$I$2,O2:R3),IF(Q16&lt;10, DGET(カード詳細!$A$2:$N$115,カード詳細!$K$2,O2:R3), IF(Q16=10, DGET(カード詳細!M2:Z115,カード詳細!$M$2,O2:R3), "カード選択"))), "カード選択")</f>
        <v>カード選択</v>
      </c>
      <c r="R14" s="80"/>
      <c r="S14" s="59"/>
      <c r="T14" s="60"/>
      <c r="U14" s="48" t="str">
        <f>IFERROR(IF(U16&lt;5, DGET(カード詳細!$A$2:$N$115,カード詳細!$C$2,U2:X3),IF(U16&lt;10, DGET(カード詳細!$A$2:$N$115,カード詳細!$E$2,U2:X3), IF(U16=10, DGET(カード詳細!S2:AF115,カード詳細!$G$2,U2:X3), "カード選択"))), "カード選択")</f>
        <v>カード選択</v>
      </c>
      <c r="V14" s="49"/>
      <c r="W14" s="79" t="str">
        <f>IFERROR(IF(W16&lt;5, DGET(カード詳細!$A$2:$N$115,カード詳細!$I$2,U2:X3),IF(W16&lt;10, DGET(カード詳細!$A$2:$N$115,カード詳細!$K$2,U2:X3), IF(W16=10, DGET(カード詳細!S2:AF115,カード詳細!$M$2,U2:X3), "カード選択"))), "カード選択")</f>
        <v>カード選択</v>
      </c>
      <c r="X14" s="80"/>
      <c r="Y14" s="59"/>
      <c r="Z14" s="60"/>
      <c r="AA14" s="48" t="str">
        <f>IFERROR(IF(AA16&lt;5, DGET(カード詳細!$A$2:$N$115,カード詳細!$C$2,AA2:AD3),IF(AA16&lt;10, DGET(カード詳細!$A$2:$N$115,カード詳細!$E$2,AA2:AD3), IF(AA16=10, DGET(カード詳細!Y2:AL115,カード詳細!$G$2,AA2:AD3), "カード選択"))), "カード選択")</f>
        <v>カード選択</v>
      </c>
      <c r="AB14" s="49"/>
      <c r="AC14" s="79" t="str">
        <f>IFERROR(IF(AC16&lt;5, DGET(カード詳細!$A$2:$N$115,カード詳細!$I$2,AA2:AD3),IF(AC16&lt;10, DGET(カード詳細!$A$2:$N$115,カード詳細!$K$2,AA2:AD3), IF(AC16=10, DGET(カード詳細!Y2:AL115,カード詳細!$M$2,AA2:AD3), "カード選択"))), "カード選択")</f>
        <v>カード選択</v>
      </c>
      <c r="AD14" s="80"/>
    </row>
    <row r="15" spans="2:30" ht="21" thickBot="1">
      <c r="B15" s="12" t="s">
        <v>94</v>
      </c>
      <c r="C15" s="48" t="str">
        <f>IFERROR(VLOOKUP(C$14,魔法一覧!$A$2:$E$16,2,FALSE),"カード選択")</f>
        <v>カード選択</v>
      </c>
      <c r="D15" s="49"/>
      <c r="E15" s="48" t="str">
        <f>IFERROR(VLOOKUP(E$14,魔法一覧!$A$2:$E$16,2,FALSE),"カード選択")</f>
        <v>カード選択</v>
      </c>
      <c r="F15" s="49"/>
      <c r="G15" s="59"/>
      <c r="H15" s="60"/>
      <c r="I15" s="48" t="str">
        <f>IFERROR(VLOOKUP(I$14,魔法一覧!$A$2:$E$16,2,FALSE),"カード選択")</f>
        <v>カード選択</v>
      </c>
      <c r="J15" s="49"/>
      <c r="K15" s="48" t="str">
        <f>IFERROR(VLOOKUP(K$14,魔法一覧!$A$2:$E$16,2,FALSE),"カード選択")</f>
        <v>カード選択</v>
      </c>
      <c r="L15" s="49"/>
      <c r="M15" s="59"/>
      <c r="N15" s="60"/>
      <c r="O15" s="48" t="str">
        <f>IFERROR(VLOOKUP(O$14,魔法一覧!$A$2:$E$16,2,FALSE),"カード選択")</f>
        <v>カード選択</v>
      </c>
      <c r="P15" s="49"/>
      <c r="Q15" s="48" t="str">
        <f>IFERROR(VLOOKUP(Q$14,魔法一覧!$A$2:$E$16,2,FALSE),"カード選択")</f>
        <v>カード選択</v>
      </c>
      <c r="R15" s="49"/>
      <c r="S15" s="59"/>
      <c r="T15" s="60"/>
      <c r="U15" s="48" t="str">
        <f>IFERROR(VLOOKUP(U$14,魔法一覧!$A$2:$E$16,2,FALSE),"カード選択")</f>
        <v>カード選択</v>
      </c>
      <c r="V15" s="49"/>
      <c r="W15" s="48" t="str">
        <f>IFERROR(VLOOKUP(W$14,魔法一覧!$A$2:$E$16,2,FALSE),"カード選択")</f>
        <v>カード選択</v>
      </c>
      <c r="X15" s="49"/>
      <c r="Y15" s="59"/>
      <c r="Z15" s="60"/>
      <c r="AA15" s="48" t="str">
        <f>IFERROR(VLOOKUP(AA$14,魔法一覧!$A$2:$E$16,2,FALSE),"カード選択")</f>
        <v>カード選択</v>
      </c>
      <c r="AB15" s="49"/>
      <c r="AC15" s="48" t="str">
        <f>IFERROR(VLOOKUP(AC$14,魔法一覧!$A$2:$E$16,2,FALSE),"カード選択")</f>
        <v>カード選択</v>
      </c>
      <c r="AD15" s="49"/>
    </row>
    <row r="16" spans="2:30" ht="21" thickBot="1">
      <c r="B16" s="14" t="s">
        <v>85</v>
      </c>
      <c r="C16" s="74"/>
      <c r="D16" s="75"/>
      <c r="E16" s="74"/>
      <c r="F16" s="75"/>
      <c r="G16" s="59"/>
      <c r="H16" s="60"/>
      <c r="I16" s="74"/>
      <c r="J16" s="75"/>
      <c r="K16" s="74"/>
      <c r="L16" s="75"/>
      <c r="M16" s="59"/>
      <c r="N16" s="60"/>
      <c r="O16" s="74"/>
      <c r="P16" s="75"/>
      <c r="Q16" s="74"/>
      <c r="R16" s="75"/>
      <c r="S16" s="59"/>
      <c r="T16" s="60"/>
      <c r="U16" s="74"/>
      <c r="V16" s="75"/>
      <c r="W16" s="74"/>
      <c r="X16" s="75"/>
      <c r="Y16" s="59"/>
      <c r="Z16" s="60"/>
      <c r="AA16" s="74"/>
      <c r="AB16" s="75"/>
      <c r="AC16" s="74"/>
      <c r="AD16" s="75"/>
    </row>
    <row r="17" spans="2:30" ht="21" thickBot="1">
      <c r="B17" s="14" t="s">
        <v>81</v>
      </c>
      <c r="C17" s="48" t="str">
        <f>IFERROR(VLOOKUP(C$14,魔法一覧!$A$2:$E$16,4,FALSE),"カード選択")</f>
        <v>カード選択</v>
      </c>
      <c r="D17" s="49"/>
      <c r="E17" s="48" t="str">
        <f>IFERROR(VLOOKUP(E$14,魔法一覧!$A$2:$E$16,4,FALSE),"カード選択")</f>
        <v>カード選択</v>
      </c>
      <c r="F17" s="49"/>
      <c r="G17" s="59"/>
      <c r="H17" s="60"/>
      <c r="I17" s="48" t="str">
        <f>IFERROR(VLOOKUP(I$14,魔法一覧!$A$2:$E$16,4,FALSE),"カード選択")</f>
        <v>カード選択</v>
      </c>
      <c r="J17" s="49"/>
      <c r="K17" s="48" t="str">
        <f>IFERROR(VLOOKUP(K$14,魔法一覧!$A$2:$E$16,4,FALSE),"カード選択")</f>
        <v>カード選択</v>
      </c>
      <c r="L17" s="49"/>
      <c r="M17" s="59"/>
      <c r="N17" s="60"/>
      <c r="O17" s="48" t="str">
        <f>IFERROR(VLOOKUP(O$14,魔法一覧!$A$2:$E$16,4,FALSE),"カード選択")</f>
        <v>カード選択</v>
      </c>
      <c r="P17" s="49"/>
      <c r="Q17" s="48" t="str">
        <f>IFERROR(VLOOKUP(Q$14,魔法一覧!$A$2:$E$16,4,FALSE),"カード選択")</f>
        <v>カード選択</v>
      </c>
      <c r="R17" s="49"/>
      <c r="S17" s="59"/>
      <c r="T17" s="60"/>
      <c r="U17" s="48" t="str">
        <f>IFERROR(VLOOKUP(U$14,魔法一覧!$A$2:$E$16,4,FALSE),"カード選択")</f>
        <v>カード選択</v>
      </c>
      <c r="V17" s="49"/>
      <c r="W17" s="48" t="str">
        <f>IFERROR(VLOOKUP(W$14,魔法一覧!$A$2:$E$16,4,FALSE),"カード選択")</f>
        <v>カード選択</v>
      </c>
      <c r="X17" s="49"/>
      <c r="Y17" s="59"/>
      <c r="Z17" s="60"/>
      <c r="AA17" s="48" t="str">
        <f>IFERROR(VLOOKUP(AA$14,魔法一覧!$A$2:$E$16,4,FALSE),"カード選択")</f>
        <v>カード選択</v>
      </c>
      <c r="AB17" s="49"/>
      <c r="AC17" s="48" t="str">
        <f>IFERROR(VLOOKUP(AC$14,魔法一覧!$A$2:$E$16,4,FALSE),"カード選択")</f>
        <v>カード選択</v>
      </c>
      <c r="AD17" s="49"/>
    </row>
    <row r="18" spans="2:30" ht="21" thickBot="1">
      <c r="B18" s="14" t="s">
        <v>82</v>
      </c>
      <c r="C18" s="48" t="str">
        <f>IFERROR(VLOOKUP(C$14,魔法一覧!$A$2:$E$16,5,FALSE),"カード選択")</f>
        <v>カード選択</v>
      </c>
      <c r="D18" s="49"/>
      <c r="E18" s="48" t="str">
        <f>IFERROR(VLOOKUP(E$14,魔法一覧!$A$2:$E$16,5,FALSE),"カード選択")</f>
        <v>カード選択</v>
      </c>
      <c r="F18" s="49"/>
      <c r="G18" s="59"/>
      <c r="H18" s="60"/>
      <c r="I18" s="48" t="str">
        <f>IFERROR(VLOOKUP(I$14,魔法一覧!$A$2:$E$16,5,FALSE),"カード選択")</f>
        <v>カード選択</v>
      </c>
      <c r="J18" s="49"/>
      <c r="K18" s="48" t="str">
        <f>IFERROR(VLOOKUP(K$14,魔法一覧!$A$2:$E$16,5,FALSE),"カード選択")</f>
        <v>カード選択</v>
      </c>
      <c r="L18" s="49"/>
      <c r="M18" s="59"/>
      <c r="N18" s="60"/>
      <c r="O18" s="48" t="str">
        <f>IFERROR(VLOOKUP(O$14,魔法一覧!$A$2:$E$16,5,FALSE),"カード選択")</f>
        <v>カード選択</v>
      </c>
      <c r="P18" s="49"/>
      <c r="Q18" s="48" t="str">
        <f>IFERROR(VLOOKUP(Q$14,魔法一覧!$A$2:$E$16,5,FALSE),"カード選択")</f>
        <v>カード選択</v>
      </c>
      <c r="R18" s="49"/>
      <c r="S18" s="59"/>
      <c r="T18" s="60"/>
      <c r="U18" s="48" t="str">
        <f>IFERROR(VLOOKUP(U$14,魔法一覧!$A$2:$E$16,5,FALSE),"カード選択")</f>
        <v>カード選択</v>
      </c>
      <c r="V18" s="49"/>
      <c r="W18" s="48" t="str">
        <f>IFERROR(VLOOKUP(W$14,魔法一覧!$A$2:$E$16,5,FALSE),"カード選択")</f>
        <v>カード選択</v>
      </c>
      <c r="X18" s="49"/>
      <c r="Y18" s="59"/>
      <c r="Z18" s="60"/>
      <c r="AA18" s="48" t="str">
        <f>IFERROR(VLOOKUP(AA$14,魔法一覧!$A$2:$E$16,5,FALSE),"カード選択")</f>
        <v>カード選択</v>
      </c>
      <c r="AB18" s="49"/>
      <c r="AC18" s="48" t="str">
        <f>IFERROR(VLOOKUP(AC$14,魔法一覧!$A$2:$E$16,5,FALSE),"カード選択")</f>
        <v>カード選択</v>
      </c>
      <c r="AD18" s="49"/>
    </row>
    <row r="19" spans="2:30" ht="20" customHeight="1" thickBot="1">
      <c r="B19" s="14" t="s">
        <v>95</v>
      </c>
      <c r="C19" s="57" t="s">
        <v>84</v>
      </c>
      <c r="D19" s="58"/>
      <c r="E19" s="57" t="s">
        <v>84</v>
      </c>
      <c r="F19" s="58"/>
      <c r="G19" s="59"/>
      <c r="H19" s="60"/>
      <c r="I19" s="57" t="s">
        <v>84</v>
      </c>
      <c r="J19" s="58"/>
      <c r="K19" s="57" t="s">
        <v>84</v>
      </c>
      <c r="L19" s="58"/>
      <c r="M19" s="59"/>
      <c r="N19" s="60"/>
      <c r="O19" s="57" t="s">
        <v>84</v>
      </c>
      <c r="P19" s="58"/>
      <c r="Q19" s="57" t="s">
        <v>84</v>
      </c>
      <c r="R19" s="58"/>
      <c r="S19" s="59"/>
      <c r="T19" s="60"/>
      <c r="U19" s="57" t="s">
        <v>84</v>
      </c>
      <c r="V19" s="58"/>
      <c r="W19" s="57" t="s">
        <v>84</v>
      </c>
      <c r="X19" s="58"/>
      <c r="Y19" s="59"/>
      <c r="Z19" s="60"/>
      <c r="AA19" s="57" t="s">
        <v>84</v>
      </c>
      <c r="AB19" s="58"/>
      <c r="AC19" s="57" t="s">
        <v>84</v>
      </c>
      <c r="AD19" s="58"/>
    </row>
    <row r="20" spans="2:30">
      <c r="B20" s="46" t="s">
        <v>238</v>
      </c>
      <c r="C20" s="61" t="str">
        <f>IF(COUNTIF(C28, "*ATK UP*")&gt;0, C28, "-")</f>
        <v>-</v>
      </c>
      <c r="D20" s="62"/>
      <c r="E20" s="61" t="str">
        <f>IF(COUNTIF(E28, "*ATK UP*")&gt;0, E28, "-")</f>
        <v>-</v>
      </c>
      <c r="F20" s="62"/>
      <c r="G20" s="59"/>
      <c r="H20" s="60"/>
      <c r="I20" s="61" t="str">
        <f>IF(COUNTIF(I28, "*ATK UP*")&gt;0, I28, "-")</f>
        <v>-</v>
      </c>
      <c r="J20" s="62"/>
      <c r="K20" s="61" t="str">
        <f>IF(COUNTIF(K28, "*ATK UP*")&gt;0, K28, "-")</f>
        <v>-</v>
      </c>
      <c r="L20" s="62"/>
      <c r="M20" s="59"/>
      <c r="N20" s="60"/>
      <c r="O20" s="61" t="str">
        <f>IF(COUNTIF(O28, "*ATK UP*")&gt;0, O28, "-")</f>
        <v>-</v>
      </c>
      <c r="P20" s="62"/>
      <c r="Q20" s="61" t="str">
        <f>IF(COUNTIF(Q28, "*ATK UP*")&gt;0, Q28, "-")</f>
        <v>-</v>
      </c>
      <c r="R20" s="62"/>
      <c r="S20" s="59"/>
      <c r="T20" s="60"/>
      <c r="U20" s="61" t="str">
        <f>IF(COUNTIF(U28, "*ATK UP*")&gt;0, U28, "-")</f>
        <v>-</v>
      </c>
      <c r="V20" s="62"/>
      <c r="W20" s="61" t="str">
        <f>IF(COUNTIF(W28, "*ATK UP*")&gt;0, W28, "-")</f>
        <v>-</v>
      </c>
      <c r="X20" s="62"/>
      <c r="Y20" s="59"/>
      <c r="Z20" s="60"/>
      <c r="AA20" s="61" t="str">
        <f>IF(COUNTIF(AA28, "*ATK UP*")&gt;0, AA28, "-")</f>
        <v>-</v>
      </c>
      <c r="AB20" s="62"/>
      <c r="AC20" s="61" t="str">
        <f>IF(COUNTIF(AC28, "*ATK UP*")&gt;0, AC28, "-")</f>
        <v>-</v>
      </c>
      <c r="AD20" s="62"/>
    </row>
    <row r="21" spans="2:30" ht="21" thickBot="1">
      <c r="B21" s="50"/>
      <c r="C21" s="63" t="s">
        <v>242</v>
      </c>
      <c r="D21" s="64"/>
      <c r="E21" s="63" t="s">
        <v>242</v>
      </c>
      <c r="F21" s="64"/>
      <c r="G21" s="59"/>
      <c r="H21" s="60"/>
      <c r="I21" s="63" t="s">
        <v>242</v>
      </c>
      <c r="J21" s="64"/>
      <c r="K21" s="63" t="s">
        <v>242</v>
      </c>
      <c r="L21" s="64"/>
      <c r="M21" s="59"/>
      <c r="N21" s="60"/>
      <c r="O21" s="63" t="s">
        <v>242</v>
      </c>
      <c r="P21" s="64"/>
      <c r="Q21" s="63" t="s">
        <v>242</v>
      </c>
      <c r="R21" s="64"/>
      <c r="S21" s="59"/>
      <c r="T21" s="60"/>
      <c r="U21" s="63" t="s">
        <v>242</v>
      </c>
      <c r="V21" s="64"/>
      <c r="W21" s="63" t="s">
        <v>242</v>
      </c>
      <c r="X21" s="64"/>
      <c r="Y21" s="59"/>
      <c r="Z21" s="60"/>
      <c r="AA21" s="63" t="s">
        <v>242</v>
      </c>
      <c r="AB21" s="64"/>
      <c r="AC21" s="63" t="s">
        <v>242</v>
      </c>
      <c r="AD21" s="64"/>
    </row>
    <row r="22" spans="2:30">
      <c r="B22" s="46" t="s">
        <v>239</v>
      </c>
      <c r="C22" s="61" t="str">
        <f>IF(COUNTIF(C28, "*ダメージUP*"), C28, "-")</f>
        <v>-</v>
      </c>
      <c r="D22" s="62"/>
      <c r="E22" s="61" t="str">
        <f>IF(COUNTIF(E28, "*ダメージUP*"), E28, "-")</f>
        <v>-</v>
      </c>
      <c r="F22" s="62"/>
      <c r="G22" s="59"/>
      <c r="H22" s="60"/>
      <c r="I22" s="61" t="str">
        <f>IF(COUNTIF(I28, "*ダメージUP*"), I28, "-")</f>
        <v>-</v>
      </c>
      <c r="J22" s="62"/>
      <c r="K22" s="61" t="str">
        <f>IF(COUNTIF(K28, "*ダメージUP*"), K28, "-")</f>
        <v>-</v>
      </c>
      <c r="L22" s="62"/>
      <c r="M22" s="59"/>
      <c r="N22" s="60"/>
      <c r="O22" s="61" t="str">
        <f>IF(COUNTIF(O28, "*ダメージUP*"), O28, "-")</f>
        <v>-</v>
      </c>
      <c r="P22" s="62"/>
      <c r="Q22" s="61" t="str">
        <f>IF(COUNTIF(Q28, "*ダメージUP*"), Q28, "-")</f>
        <v>-</v>
      </c>
      <c r="R22" s="62"/>
      <c r="S22" s="59"/>
      <c r="T22" s="60"/>
      <c r="U22" s="61" t="str">
        <f>IF(COUNTIF(U28, "*ダメージUP*"), U28, "-")</f>
        <v>-</v>
      </c>
      <c r="V22" s="62"/>
      <c r="W22" s="61" t="str">
        <f>IF(COUNTIF(W28, "*ダメージUP*"), W28, "-")</f>
        <v>-</v>
      </c>
      <c r="X22" s="62"/>
      <c r="Y22" s="59"/>
      <c r="Z22" s="60"/>
      <c r="AA22" s="61" t="str">
        <f>IF(COUNTIF(AA28, "*ダメージUP*"), AA28, "-")</f>
        <v>-</v>
      </c>
      <c r="AB22" s="62"/>
      <c r="AC22" s="61" t="str">
        <f>IF(COUNTIF(AC28, "*ダメージUP*"), AC28, "-")</f>
        <v>-</v>
      </c>
      <c r="AD22" s="62"/>
    </row>
    <row r="23" spans="2:30" ht="21" thickBot="1">
      <c r="B23" s="47"/>
      <c r="C23" s="63" t="s">
        <v>83</v>
      </c>
      <c r="D23" s="64"/>
      <c r="E23" s="63" t="s">
        <v>83</v>
      </c>
      <c r="F23" s="64"/>
      <c r="G23" s="59"/>
      <c r="H23" s="60"/>
      <c r="I23" s="63" t="s">
        <v>83</v>
      </c>
      <c r="J23" s="64"/>
      <c r="K23" s="63" t="s">
        <v>83</v>
      </c>
      <c r="L23" s="64"/>
      <c r="M23" s="59"/>
      <c r="N23" s="60"/>
      <c r="O23" s="63" t="s">
        <v>83</v>
      </c>
      <c r="P23" s="64"/>
      <c r="Q23" s="63" t="s">
        <v>83</v>
      </c>
      <c r="R23" s="64"/>
      <c r="S23" s="59"/>
      <c r="T23" s="60"/>
      <c r="U23" s="63" t="s">
        <v>83</v>
      </c>
      <c r="V23" s="64"/>
      <c r="W23" s="63" t="s">
        <v>83</v>
      </c>
      <c r="X23" s="64"/>
      <c r="Y23" s="59"/>
      <c r="Z23" s="60"/>
      <c r="AA23" s="63" t="s">
        <v>83</v>
      </c>
      <c r="AB23" s="64"/>
      <c r="AC23" s="63" t="s">
        <v>83</v>
      </c>
      <c r="AD23" s="64"/>
    </row>
    <row r="24" spans="2:30" ht="21" thickBot="1">
      <c r="B24" s="10"/>
      <c r="C24" s="11"/>
      <c r="D24" s="11"/>
      <c r="E24" s="11"/>
      <c r="F24" s="11"/>
      <c r="G24" s="83"/>
      <c r="H24" s="83"/>
      <c r="I24" s="11"/>
      <c r="J24" s="11"/>
      <c r="K24" s="11"/>
      <c r="L24" s="11"/>
      <c r="M24" s="83"/>
      <c r="N24" s="83"/>
      <c r="O24" s="11"/>
      <c r="P24" s="11"/>
      <c r="Q24" s="11"/>
      <c r="R24" s="11"/>
      <c r="S24" s="83"/>
      <c r="T24" s="83"/>
      <c r="U24" s="11"/>
      <c r="V24" s="11"/>
      <c r="W24" s="11"/>
      <c r="X24" s="11"/>
      <c r="Y24" s="83"/>
      <c r="Z24" s="83"/>
      <c r="AA24" s="11"/>
      <c r="AB24" s="11"/>
      <c r="AC24" s="11"/>
      <c r="AD24" s="11"/>
    </row>
    <row r="25" spans="2:30">
      <c r="B25" s="15" t="s">
        <v>78</v>
      </c>
      <c r="C25" s="51">
        <f>ROUND(C6*(1+C29+C30),0)</f>
        <v>0</v>
      </c>
      <c r="D25" s="52"/>
      <c r="E25" s="52"/>
      <c r="F25" s="53"/>
      <c r="G25" s="59"/>
      <c r="H25" s="60"/>
      <c r="I25" s="51">
        <f>ROUND(I6*(1+I29+I30),0)</f>
        <v>0</v>
      </c>
      <c r="J25" s="52"/>
      <c r="K25" s="52"/>
      <c r="L25" s="53"/>
      <c r="M25" s="59"/>
      <c r="N25" s="60"/>
      <c r="O25" s="51">
        <f>ROUND(O6*(1+O29+O30),0)</f>
        <v>0</v>
      </c>
      <c r="P25" s="52"/>
      <c r="Q25" s="52"/>
      <c r="R25" s="53"/>
      <c r="S25" s="59"/>
      <c r="T25" s="60"/>
      <c r="U25" s="51">
        <f>ROUND(U6*(1+U29+U30),0)</f>
        <v>0</v>
      </c>
      <c r="V25" s="52"/>
      <c r="W25" s="52"/>
      <c r="X25" s="53"/>
      <c r="Y25" s="59"/>
      <c r="Z25" s="60"/>
      <c r="AA25" s="51">
        <f>ROUND(AA6*(1+AA29+AA30),0)</f>
        <v>0</v>
      </c>
      <c r="AB25" s="52"/>
      <c r="AC25" s="52"/>
      <c r="AD25" s="53"/>
    </row>
    <row r="26" spans="2:30" ht="21" thickBot="1">
      <c r="B26" s="16" t="s">
        <v>88</v>
      </c>
      <c r="C26" s="54">
        <f>ROUND(C11*(1+C31+C32+C37+C38)*C34*C35*C36*(1+C39+C40),0)</f>
        <v>0</v>
      </c>
      <c r="D26" s="55"/>
      <c r="E26" s="55">
        <f>ROUND(C11*(1+E31+E32+E37+E38)*E34*E35*E36*(1+E39+E40),0)</f>
        <v>0</v>
      </c>
      <c r="F26" s="56"/>
      <c r="G26" s="59"/>
      <c r="H26" s="60"/>
      <c r="I26" s="54">
        <f>ROUND(I11*(1+I31+I32+I37+I38)*I34*I35*I36*(1+I39+I40),0)</f>
        <v>0</v>
      </c>
      <c r="J26" s="55"/>
      <c r="K26" s="55">
        <f>ROUND(I11*(1+K31+K32+K37+K38)*K34*K35*K36*(1+K39+K40),0)</f>
        <v>0</v>
      </c>
      <c r="L26" s="56"/>
      <c r="M26" s="59"/>
      <c r="N26" s="60"/>
      <c r="O26" s="54">
        <f>ROUND(O11*(1+O31+O32+O37+O38)*O34*O35*O36*(1+O39+O40),0)</f>
        <v>0</v>
      </c>
      <c r="P26" s="55"/>
      <c r="Q26" s="55">
        <f>ROUND(O11*(1+Q31+Q32+Q37+Q38)*Q34*Q35*Q36*(1+Q39+Q40),0)</f>
        <v>0</v>
      </c>
      <c r="R26" s="56"/>
      <c r="S26" s="59"/>
      <c r="T26" s="60"/>
      <c r="U26" s="54">
        <f>ROUND(U11*(1+U31+U32+U37+U38)*U34*U35*U36*(1+U39+U40),0)</f>
        <v>0</v>
      </c>
      <c r="V26" s="55"/>
      <c r="W26" s="55">
        <f>ROUND(U11*(1+W31+W32+W37+W38)*W34*W35*W36*(1+W39+W40),0)</f>
        <v>0</v>
      </c>
      <c r="X26" s="56"/>
      <c r="Y26" s="59"/>
      <c r="Z26" s="60"/>
      <c r="AA26" s="54">
        <f>ROUND(AA11*(1+AA31+AA32+AA37+AA38)*AA34*AA35*AA36*(1+AA39+AA40),0)</f>
        <v>0</v>
      </c>
      <c r="AB26" s="55"/>
      <c r="AC26" s="55">
        <f>ROUND(AA11*(1+AC31+AC32+AC37+AC38)*AC34*AC35*AC36*(1+AC39+AC40),0)</f>
        <v>0</v>
      </c>
      <c r="AD26" s="56"/>
    </row>
    <row r="27" spans="2:30" ht="21" thickBot="1">
      <c r="B27" s="6"/>
    </row>
    <row r="28" spans="2:30" hidden="1">
      <c r="B28" s="6"/>
      <c r="C28" t="str">
        <f>IFERROR(IF(C16&lt;5, DGET(カード詳細!$A$2:$N$115,カード詳細!$D$2,C2:F3), IF(C16&lt;10, DGET(カード詳細!$A$2:$N$115,カード詳細!$F$2,C2:F3), IF(C16=10, DGET(カード詳細!$A$2:$N$115,カード詳細!$H$2,C2:F3), "-"))), "-")</f>
        <v>-</v>
      </c>
      <c r="E28" t="str">
        <f>IFERROR(IF(E16&lt;5, DGET(カード詳細!$A$2:$N$115,カード詳細!$J$2,C2:F3), IF(E16&lt;10, DGET(カード詳細!$A$2:$N$115,カード詳細!$L$2,C2:F3), IF(E16=10, DGET(カード詳細!$A$2:$N$115,カード詳細!$N$2,C2:F3), "-"))), "-")</f>
        <v>-</v>
      </c>
      <c r="I28" t="str">
        <f>IFERROR(IF(I16&lt;5, DGET(カード詳細!$A$2:$N$115,カード詳細!$D$2,I2:L3), IF(I16&lt;10, DGET(カード詳細!$A$2:$N$115,カード詳細!$F$2,I2:L3), IF(I16=10, DGET(カード詳細!$A$2:$N$115,カード詳細!$H$2,I2:L3), "-"))), "-")</f>
        <v>-</v>
      </c>
      <c r="K28" t="str">
        <f>IFERROR(IF(K16&lt;5, DGET(カード詳細!$A$2:$N$115,カード詳細!$J$2,I2:L3), IF(K16&lt;10, DGET(カード詳細!$A$2:$N$115,カード詳細!$L$2,I2:L3), IF(K16=10, DGET(カード詳細!$A$2:$N$115,カード詳細!$N$2,I2:L3), "-"))), "-")</f>
        <v>-</v>
      </c>
      <c r="O28" t="str">
        <f>IFERROR(IF(O16&lt;5, DGET(カード詳細!$A$2:$N$115,カード詳細!$D$2,O2:R3), IF(O16&lt;10, DGET(カード詳細!$A$2:$N$115,カード詳細!$F$2,O2:R3), IF(O16=10, DGET(カード詳細!$A$2:$N$115,カード詳細!$H$2,O2:R3), "-"))), "-")</f>
        <v>-</v>
      </c>
      <c r="Q28" t="str">
        <f>IFERROR(IF(Q16&lt;5, DGET(カード詳細!$A$2:$N$115,カード詳細!$J$2,O2:R3), IF(Q16&lt;10, DGET(カード詳細!$A$2:$N$115,カード詳細!$L$2,O2:R3), IF(Q16=10, DGET(カード詳細!$A$2:$N$115,カード詳細!$N$2,O2:R3), "-"))), "-")</f>
        <v>-</v>
      </c>
      <c r="U28" t="str">
        <f>IFERROR(IF(U16&lt;5, DGET(カード詳細!$A$2:$N$115,カード詳細!$D$2,U2:X3), IF(U16&lt;10, DGET(カード詳細!$A$2:$N$115,カード詳細!$F$2,U2:X3), IF(U16=10, DGET(カード詳細!$A$2:$N$115,カード詳細!$H$2,U2:X3), "-"))), "-")</f>
        <v>-</v>
      </c>
      <c r="W28" t="str">
        <f>IFERROR(IF(W16&lt;5, DGET(カード詳細!$A$2:$N$115,カード詳細!$J$2,U2:X3), IF(W16&lt;10, DGET(カード詳細!$A$2:$N$115,カード詳細!$L$2,U2:X3), IF(W16=10, DGET(カード詳細!$A$2:$N$115,カード詳細!$N$2,U2:X3), "-"))), "-")</f>
        <v>-</v>
      </c>
      <c r="AA28" t="str">
        <f>IFERROR(IF(AA16&lt;5, DGET(カード詳細!$A$2:$N$115,カード詳細!$D$2,AA2:AD3), IF(AA16&lt;10, DGET(カード詳細!$A$2:$N$115,カード詳細!$F$2,AA2:AD3), IF(AA16=10, DGET(カード詳細!$A$2:$N$115,カード詳細!$H$2,AA2:AD3), "-"))), "-")</f>
        <v>-</v>
      </c>
      <c r="AC28" t="str">
        <f>IFERROR(IF(AC16&lt;5, DGET(カード詳細!$A$2:$N$115,カード詳細!$J$2,AA2:AD3), IF(AC16&lt;10, DGET(カード詳細!$A$2:$N$115,カード詳細!$L$2,AA2:AD3), IF(AC16=10, DGET(カード詳細!$A$2:$N$115,カード詳細!$N$2,AA2:AD3), "-"))), "-")</f>
        <v>-</v>
      </c>
    </row>
    <row r="29" spans="2:30" hidden="1">
      <c r="B29" s="6"/>
      <c r="C29">
        <f>IF(D7="小", (10+E7)/100, IF(D7="中", (20+E7)/100, 0))</f>
        <v>0</v>
      </c>
      <c r="I29">
        <f>IF(J7="小", (10+K7)/100, IF(J7="中", (20+K7)/100, 0))</f>
        <v>0</v>
      </c>
      <c r="O29">
        <f>IF(P7="小", (10+Q7)/100, IF(P7="中", (20+Q7)/100, 0))</f>
        <v>0</v>
      </c>
      <c r="U29">
        <f>IF(V7="小", (10+W7)/100, IF(V7="中", (20+W7)/100, 0))</f>
        <v>0</v>
      </c>
      <c r="AA29">
        <f>IF(AB7="小", (10+AC7)/100, IF(AB7="中", (20+AC7)/100, 0))</f>
        <v>0</v>
      </c>
    </row>
    <row r="30" spans="2:30" hidden="1">
      <c r="B30" s="6"/>
      <c r="C30">
        <f>IF(D8="小", (10+E8)/100, IF(D8="中", (20+E8)/100, 0))</f>
        <v>0</v>
      </c>
      <c r="I30">
        <f>IF(J8="小", (10+K8)/100, IF(J8="中", (20+K8)/100, 0))</f>
        <v>0</v>
      </c>
      <c r="O30">
        <f>IF(P8="小", (10+Q8)/100, IF(P8="中", (20+Q8)/100, 0))</f>
        <v>0</v>
      </c>
      <c r="U30">
        <f>IF(V8="小", (10+W8)/100, IF(V8="中", (20+W8)/100, 0))</f>
        <v>0</v>
      </c>
      <c r="AA30">
        <f>IF(AB8="小", (10+AC8)/100, IF(AB8="中", (20+AC8)/100, 0))</f>
        <v>0</v>
      </c>
    </row>
    <row r="31" spans="2:30" hidden="1">
      <c r="B31" s="6"/>
      <c r="C31">
        <f>IF(D12="小", (10+E12)/100, IF(D12="中", (20+E12)/100, 0))</f>
        <v>0</v>
      </c>
      <c r="E31">
        <f>IF(D12="小", (10+E12)/100, IF(D12="中", (20+E12)/100, 0))</f>
        <v>0</v>
      </c>
      <c r="I31">
        <f>IF(J12="小", (10+K12)/100, IF(J12="中", (20+K12)/100, 0))</f>
        <v>0</v>
      </c>
      <c r="K31">
        <f>IF(J12="小", (10+K12)/100, IF(J12="中", (20+K12)/100, 0))</f>
        <v>0</v>
      </c>
      <c r="O31">
        <f>IF(P12="小", (10+Q12)/100, IF(P12="中", (20+Q12)/100, 0))</f>
        <v>0</v>
      </c>
      <c r="Q31">
        <f>IF(P12="小", (10+Q12)/100, IF(P12="中", (20+Q12)/100, 0))</f>
        <v>0</v>
      </c>
      <c r="U31">
        <f>IF(V12="小", (10+W12)/100, IF(V12="中", (20+W12)/100, 0))</f>
        <v>0</v>
      </c>
      <c r="W31">
        <f>IF(V12="小", (10+W12)/100, IF(V12="中", (20+W12)/100, 0))</f>
        <v>0</v>
      </c>
      <c r="AA31">
        <f>IF(AB12="小", (10+AC12)/100, IF(AB12="中", (20+AC12)/100, 0))</f>
        <v>0</v>
      </c>
      <c r="AC31">
        <f>IF(AB12="小", (10+AC12)/100, IF(AB12="中", (20+AC12)/100, 0))</f>
        <v>0</v>
      </c>
    </row>
    <row r="32" spans="2:30" hidden="1">
      <c r="B32" s="6"/>
      <c r="C32">
        <f>IF(D13="小", (10+E13)/100, IF(D13="中", (20+E13)/100, 0))</f>
        <v>0</v>
      </c>
      <c r="E32">
        <f>IF(D13="小", (10+E13)/100, IF(D13="中", (20+E13)/100, 0))</f>
        <v>0</v>
      </c>
      <c r="I32">
        <f>IF(J13="小", (10+K13)/100, IF(J13="中", (20+K13)/100, 0))</f>
        <v>0</v>
      </c>
      <c r="K32">
        <f>IF(J13="小", (10+K13)/100, IF(J13="中", (20+K13)/100, 0))</f>
        <v>0</v>
      </c>
      <c r="O32">
        <f>IF(P13="小", (10+Q13)/100, IF(P13="中", (20+Q13)/100, 0))</f>
        <v>0</v>
      </c>
      <c r="Q32">
        <f>IF(P13="小", (10+Q13)/100, IF(P13="中", (20+Q13)/100, 0))</f>
        <v>0</v>
      </c>
      <c r="U32">
        <f>IF(V13="小", (10+W13)/100, IF(V13="中", (20+W13)/100, 0))</f>
        <v>0</v>
      </c>
      <c r="W32">
        <f>IF(V13="小", (10+W13)/100, IF(V13="中", (20+W13)/100, 0))</f>
        <v>0</v>
      </c>
      <c r="AA32">
        <f>IF(AB13="小", (10+AC13)/100, IF(AB13="中", (20+AC13)/100, 0))</f>
        <v>0</v>
      </c>
      <c r="AC32">
        <f>IF(AB13="小", (10+AC13)/100, IF(AB13="中", (20+AC13)/100, 0))</f>
        <v>0</v>
      </c>
    </row>
    <row r="33" spans="2:29" hidden="1">
      <c r="B33" s="6"/>
    </row>
    <row r="34" spans="2:29" hidden="1">
      <c r="B34" s="6"/>
      <c r="C34">
        <f>IF(C17="弱", 0.5+C16*0.025, 0.625+0.0375*C16)</f>
        <v>0.625</v>
      </c>
      <c r="E34">
        <f>IF(E17="弱", 0.5+E16*0.025, 0.625+0.0375*E16)</f>
        <v>0.625</v>
      </c>
      <c r="I34">
        <f>IF(I17="弱", 0.5+I16*0.025, 0.625+0.0375*I16)</f>
        <v>0.625</v>
      </c>
      <c r="K34">
        <f>IF(K17="弱", 0.5+K16*0.025, 0.625+0.0375*K16)</f>
        <v>0.625</v>
      </c>
      <c r="O34">
        <f>IF(O17="弱", 0.5+O16*0.025, 0.625+0.0375*O16)</f>
        <v>0.625</v>
      </c>
      <c r="Q34">
        <f>IF(Q17="弱", 0.5+Q16*0.025, 0.625+0.0375*Q16)</f>
        <v>0.625</v>
      </c>
      <c r="U34">
        <f>IF(U17="弱", 0.5+U16*0.025, 0.625+0.0375*U16)</f>
        <v>0.625</v>
      </c>
      <c r="W34">
        <f>IF(W17="弱", 0.5+W16*0.025, 0.625+0.0375*W16)</f>
        <v>0.625</v>
      </c>
      <c r="AA34">
        <f>IF(AA17="弱", 0.5+AA16*0.025, 0.625+0.0375*AA16)</f>
        <v>0.625</v>
      </c>
      <c r="AC34">
        <f>IF(AC17="弱", 0.5+AC16*0.025, 0.625+0.0375*AC16)</f>
        <v>0.625</v>
      </c>
    </row>
    <row r="35" spans="2:29" hidden="1">
      <c r="B35" s="6"/>
      <c r="C35">
        <f>IF(C19="不利", 0.5, IF(C19="同属性", 1, IF(C19="無属性", 1.1, 1.5)))</f>
        <v>1</v>
      </c>
      <c r="E35">
        <f>IF(E19="不利", 0.5, IF(E19="同属性", 1, IF(E19="無属性", 1.1, 1.5)))</f>
        <v>1</v>
      </c>
      <c r="I35">
        <f>IF(I19="不利", 0.5, IF(I19="同属性", 1, IF(I19="無属性", 1.1, 1.5)))</f>
        <v>1</v>
      </c>
      <c r="K35">
        <f>IF(K19="不利", 0.5, IF(K19="同属性", 1, IF(K19="無属性", 1.1, 1.5)))</f>
        <v>1</v>
      </c>
      <c r="O35">
        <f>IF(O19="不利", 0.5, IF(O19="同属性", 1, IF(O19="無属性", 1.1, 1.5)))</f>
        <v>1</v>
      </c>
      <c r="Q35">
        <f>IF(Q19="不利", 0.5, IF(Q19="同属性", 1, IF(Q19="無属性", 1.1, 1.5)))</f>
        <v>1</v>
      </c>
      <c r="U35">
        <f>IF(U19="不利", 0.5, IF(U19="同属性", 1, IF(U19="無属性", 1.1, 1.5)))</f>
        <v>1</v>
      </c>
      <c r="W35">
        <f>IF(W19="不利", 0.5, IF(W19="同属性", 1, IF(W19="無属性", 1.1, 1.5)))</f>
        <v>1</v>
      </c>
      <c r="AA35">
        <f>IF(AA19="不利", 0.5, IF(AA19="同属性", 1, IF(AA19="無属性", 1.1, 1.5)))</f>
        <v>1</v>
      </c>
      <c r="AC35">
        <f>IF(AC19="不利", 0.5, IF(AC19="同属性", 1, IF(AC19="無属性", 1.1, 1.5)))</f>
        <v>1</v>
      </c>
    </row>
    <row r="36" spans="2:29" hidden="1">
      <c r="B36" s="6"/>
      <c r="C36">
        <f>IF(C18=2, 0.9*2, IF(C18=3, 0.8*3, 1))</f>
        <v>1</v>
      </c>
      <c r="E36">
        <f>IF(E18=2, 0.9*2, IF(E18=3, 0.8*3, 1))</f>
        <v>1</v>
      </c>
      <c r="I36">
        <f>IF(I18=2, 0.9*2, IF(I18=3, 0.8*3, 1))</f>
        <v>1</v>
      </c>
      <c r="K36">
        <f>IF(K18=2, 0.9*2, IF(K18=3, 0.8*3, 1))</f>
        <v>1</v>
      </c>
      <c r="O36">
        <f>IF(O18=2, 0.9*2, IF(O18=3, 0.8*3, 1))</f>
        <v>1</v>
      </c>
      <c r="Q36">
        <f>IF(Q18=2, 0.9*2, IF(Q18=3, 0.8*3, 1))</f>
        <v>1</v>
      </c>
      <c r="U36">
        <f>IF(U18=2, 0.9*2, IF(U18=3, 0.8*3, 1))</f>
        <v>1</v>
      </c>
      <c r="W36">
        <f>IF(W18=2, 0.9*2, IF(W18=3, 0.8*3, 1))</f>
        <v>1</v>
      </c>
      <c r="AA36">
        <f>IF(AA18=2, 0.9*2, IF(AA18=3, 0.8*3, 1))</f>
        <v>1</v>
      </c>
      <c r="AC36">
        <f>IF(AC18=2, 0.9*2, IF(AC18=3, 0.8*3, 1))</f>
        <v>1</v>
      </c>
    </row>
    <row r="37" spans="2:29" hidden="1">
      <c r="B37" s="6"/>
      <c r="C37">
        <f>IF(COUNTIF(C20,"*ATK UP（極小）*"), 5+0.5*C$16, IF(COUNTIF(C20,"*ATK UP（小）*"), 10+C$16, IF(COUNTIF(C20,"*ATK UP（中）*"), 20+1.5*C$16, IF(COUNTIF(C20,"*ATK UP（大）*"), 50,0))))/100</f>
        <v>0</v>
      </c>
      <c r="E37">
        <f>IF(COUNTIF(E20,"*ATK UP（極小）*"), 5+0.5*E$16, IF(COUNTIF(E20,"*ATK UP（小）*"), 10+E$16, IF(COUNTIF(E20,"*ATK UP（中）*"), 20+1.5*E$16, IF(COUNTIF(E20,"*ATK UP（大）*"), 50,0))))/100</f>
        <v>0</v>
      </c>
      <c r="I37">
        <f>IF(COUNTIF(I20,"*ATK UP（極小）*"), 5+0.5*I$16, IF(COUNTIF(I20,"*ATK UP（小）*"), 10+I$16, IF(COUNTIF(I20,"*ATK UP（中）*"), 20+1.5*I$16, IF(COUNTIF(I20,"*ATK UP（大）*"), 50,0))))/100</f>
        <v>0</v>
      </c>
      <c r="K37">
        <f>IF(COUNTIF(K20,"*ATK UP（極小）*"), 5+0.5*K$16, IF(COUNTIF(K20,"*ATK UP（小）*"), 10+K$16, IF(COUNTIF(K20,"*ATK UP（中）*"), 20+1.5*K$16, IF(COUNTIF(K20,"*ATK UP（大）*"), 50,0))))/100</f>
        <v>0</v>
      </c>
      <c r="O37">
        <f>IF(COUNTIF(O20,"*ATK UP（極小）*"), 5+0.5*O$16, IF(COUNTIF(O20,"*ATK UP（小）*"), 10+O$16, IF(COUNTIF(O20,"*ATK UP（中）*"), 20+1.5*O$16, IF(COUNTIF(O20,"*ATK UP（大）*"), 50,0))))/100</f>
        <v>0</v>
      </c>
      <c r="Q37">
        <f>IF(COUNTIF(Q20,"*ATK UP（極小）*"), 5+0.5*Q$16, IF(COUNTIF(Q20,"*ATK UP（小）*"), 10+Q$16, IF(COUNTIF(Q20,"*ATK UP（中）*"), 20+1.5*Q$16, IF(COUNTIF(Q20,"*ATK UP（大）*"), 50,0))))/100</f>
        <v>0</v>
      </c>
      <c r="U37">
        <f>IF(COUNTIF(U20,"*ATK UP（極小）*"), 5+0.5*U$16, IF(COUNTIF(U20,"*ATK UP（小）*"), 10+U$16, IF(COUNTIF(U20,"*ATK UP（中）*"), 20+1.5*U$16, IF(COUNTIF(U20,"*ATK UP（大）*"), 50,0))))/100</f>
        <v>0</v>
      </c>
      <c r="W37">
        <f>IF(COUNTIF(W20,"*ATK UP（極小）*"), 5+0.5*W$16, IF(COUNTIF(W20,"*ATK UP（小）*"), 10+W$16, IF(COUNTIF(W20,"*ATK UP（中）*"), 20+1.5*W$16, IF(COUNTIF(W20,"*ATK UP（大）*"), 50,0))))/100</f>
        <v>0</v>
      </c>
      <c r="AA37">
        <f>IF(COUNTIF(AA20,"*ATK UP（極小）*"), 5+0.5*AA$16, IF(COUNTIF(AA20,"*ATK UP（小）*"), 10+AA$16, IF(COUNTIF(AA20,"*ATK UP（中）*"), 20+1.5*AA$16, IF(COUNTIF(AA20,"*ATK UP（大）*"), 50,0))))/100</f>
        <v>0</v>
      </c>
      <c r="AC37">
        <f>IF(COUNTIF(AC20,"*ATK UP（極小）*"), 5+0.5*AC$16, IF(COUNTIF(AC20,"*ATK UP（小）*"), 10+AC$16, IF(COUNTIF(AC20,"*ATK UP（中）*"), 20+1.5*AC$16, IF(COUNTIF(AC20,"*ATK UP（大）*"), 50,0))))/100</f>
        <v>0</v>
      </c>
    </row>
    <row r="38" spans="2:29" hidden="1">
      <c r="B38" s="6"/>
      <c r="C38">
        <f>IF(COUNTIF(C21,"*ATK UP（極小）*"), 5+0.5*C$16, IF(COUNTIF(C21,"*ATK UP（小）*"), 10+C$16, IF(COUNTIF(C21,"*ATK UP（中）*"), 20+1.5*C$16, IF(COUNTIF(C21,"*ATK UP（大）*"), 50,0))))/100</f>
        <v>0</v>
      </c>
      <c r="E38">
        <f>IF(COUNTIF(E21,"*ATK UP（極小）*"), 5+0.5*E$16, IF(COUNTIF(E21,"*ATK UP（小）*"), 10+E$16, IF(COUNTIF(E21,"*ATK UP（中）*"), 20+1.5*E$16, IF(COUNTIF(E21,"*ATK UP（大）*"), 50,0))))/100</f>
        <v>0</v>
      </c>
      <c r="I38">
        <f>IF(COUNTIF(I21,"*ATK UP（極小）*"), 5+0.5*I$16, IF(COUNTIF(I21,"*ATK UP（小）*"), 10+I$16, IF(COUNTIF(I21,"*ATK UP（中）*"), 20+1.5*I$16, IF(COUNTIF(I21,"*ATK UP（大）*"), 50,0))))/100</f>
        <v>0</v>
      </c>
      <c r="K38">
        <f>IF(COUNTIF(K21,"*ATK UP（極小）*"), 5+0.5*K$16, IF(COUNTIF(K21,"*ATK UP（小）*"), 10+K$16, IF(COUNTIF(K21,"*ATK UP（中）*"), 20+1.5*K$16, IF(COUNTIF(K21,"*ATK UP（大）*"), 50,0))))/100</f>
        <v>0</v>
      </c>
      <c r="O38">
        <f>IF(COUNTIF(O21,"*ATK UP（極小）*"), 5+0.5*O$16, IF(COUNTIF(O21,"*ATK UP（小）*"), 10+O$16, IF(COUNTIF(O21,"*ATK UP（中）*"), 20+1.5*O$16, IF(COUNTIF(O21,"*ATK UP（大）*"), 50,0))))/100</f>
        <v>0</v>
      </c>
      <c r="Q38">
        <f>IF(COUNTIF(Q21,"*ATK UP（極小）*"), 5+0.5*Q$16, IF(COUNTIF(Q21,"*ATK UP（小）*"), 10+Q$16, IF(COUNTIF(Q21,"*ATK UP（中）*"), 20+1.5*Q$16, IF(COUNTIF(Q21,"*ATK UP（大）*"), 50,0))))/100</f>
        <v>0</v>
      </c>
      <c r="U38">
        <f>IF(COUNTIF(U21,"*ATK UP（極小）*"), 5+0.5*U$16, IF(COUNTIF(U21,"*ATK UP（小）*"), 10+U$16, IF(COUNTIF(U21,"*ATK UP（中）*"), 20+1.5*U$16, IF(COUNTIF(U21,"*ATK UP（大）*"), 50,0))))/100</f>
        <v>0</v>
      </c>
      <c r="W38">
        <f>IF(COUNTIF(W21,"*ATK UP（極小）*"), 5+0.5*W$16, IF(COUNTIF(W21,"*ATK UP（小）*"), 10+W$16, IF(COUNTIF(W21,"*ATK UP（中）*"), 20+1.5*W$16, IF(COUNTIF(W21,"*ATK UP（大）*"), 50,0))))/100</f>
        <v>0</v>
      </c>
      <c r="AA38">
        <f>IF(COUNTIF(AA21,"*ATK UP（極小）*"), 5+0.5*AA$16, IF(COUNTIF(AA21,"*ATK UP（小）*"), 10+AA$16, IF(COUNTIF(AA21,"*ATK UP（中）*"), 20+1.5*AA$16, IF(COUNTIF(AA21,"*ATK UP（大）*"), 50,0))))/100</f>
        <v>0</v>
      </c>
      <c r="AC38">
        <f>IF(COUNTIF(AC21,"*ATK UP（極小）*"), 5+0.5*AC$16, IF(COUNTIF(AC21,"*ATK UP（小）*"), 10+AC$16, IF(COUNTIF(AC21,"*ATK UP（中）*"), 20+1.5*AC$16, IF(COUNTIF(AC21,"*ATK UP（大）*"), 50,0))))/100</f>
        <v>0</v>
      </c>
    </row>
    <row r="39" spans="2:29" hidden="1">
      <c r="B39" s="6"/>
      <c r="C39">
        <f>IF(COUNTIF(C22, "*ダメージUP（小）*"), C$16, IF(COUNTIF(C22,"*ダメージUP（中）*"), 10+C$16,0))/100</f>
        <v>0</v>
      </c>
      <c r="E39">
        <f>IF(COUNTIF(E22, "*ダメージUP（小）*"), E$16, IF(COUNTIF(E22,"*ダメージUP（中）*"), 10+E$16,0))/100</f>
        <v>0</v>
      </c>
      <c r="I39">
        <f>IF(COUNTIF(I22, "*ダメージUP（小）*"), I$16, IF(COUNTIF(I22,"*ダメージUP（中）*"), 10+I$16,0))/100</f>
        <v>0</v>
      </c>
      <c r="K39">
        <f>IF(COUNTIF(K22, "*ダメージUP（小）*"), K$16, IF(COUNTIF(K22,"*ダメージUP（中）*"), 10+K$16,0))/100</f>
        <v>0</v>
      </c>
      <c r="O39">
        <f>IF(COUNTIF(O22, "*ダメージUP（小）*"), O$16, IF(COUNTIF(O22,"*ダメージUP（中）*"), 10+O$16,0))/100</f>
        <v>0</v>
      </c>
      <c r="Q39">
        <f>IF(COUNTIF(Q22, "*ダメージUP（小）*"), Q$16, IF(COUNTIF(Q22,"*ダメージUP（中）*"), 10+Q$16,0))/100</f>
        <v>0</v>
      </c>
      <c r="U39">
        <f>IF(COUNTIF(U22, "*ダメージUP（小）*"), U$16, IF(COUNTIF(U22,"*ダメージUP（中）*"), 10+U$16,0))/100</f>
        <v>0</v>
      </c>
      <c r="W39">
        <f>IF(COUNTIF(W22, "*ダメージUP（小）*"), W$16, IF(COUNTIF(W22,"*ダメージUP（中）*"), 10+W$16,0))/100</f>
        <v>0</v>
      </c>
      <c r="AA39">
        <f>IF(COUNTIF(AA22, "*ダメージUP（小）*"), AA$16, IF(COUNTIF(AA22,"*ダメージUP（中）*"), 10+AA$16,0))/100</f>
        <v>0</v>
      </c>
      <c r="AC39">
        <f>IF(COUNTIF(AC22, "*ダメージUP（小）*"), AC$16, IF(COUNTIF(AC22,"*ダメージUP（中）*"), 10+AC$16,0))/100</f>
        <v>0</v>
      </c>
    </row>
    <row r="40" spans="2:29" ht="21" hidden="1" thickBot="1">
      <c r="B40" s="6"/>
      <c r="C40">
        <f>IF(COUNTIF(C23, "*ダメージUP（小）*"), C$16, IF(COUNTIF(C23,"*ダメージUP（中）*"), 10+C$16,0))/100</f>
        <v>0</v>
      </c>
      <c r="E40">
        <f>IF(COUNTIF(E23, "*ダメージUP（小）*"), E$16, IF(COUNTIF(E23,"*ダメージUP（中）*"), 10+E$16,0))/100</f>
        <v>0</v>
      </c>
      <c r="I40">
        <f>IF(COUNTIF(I23, "*ダメージUP（小）*"), I$16, IF(COUNTIF(I23,"*ダメージUP（中）*"), 10+I$16,0))/100</f>
        <v>0</v>
      </c>
      <c r="K40">
        <f>IF(COUNTIF(K23, "*ダメージUP（小）*"), K$16, IF(COUNTIF(K23,"*ダメージUP（中）*"), 10+K$16,0))/100</f>
        <v>0</v>
      </c>
      <c r="O40">
        <f>IF(COUNTIF(O23, "*ダメージUP（小）*"), O$16, IF(COUNTIF(O23,"*ダメージUP（中）*"), 10+O$16,0))/100</f>
        <v>0</v>
      </c>
      <c r="Q40">
        <f>IF(COUNTIF(Q23, "*ダメージUP（小）*"), Q$16, IF(COUNTIF(Q23,"*ダメージUP（中）*"), 10+Q$16,0))/100</f>
        <v>0</v>
      </c>
      <c r="U40">
        <f>IF(COUNTIF(U23, "*ダメージUP（小）*"), U$16, IF(COUNTIF(U23,"*ダメージUP（中）*"), 10+U$16,0))/100</f>
        <v>0</v>
      </c>
      <c r="W40">
        <f>IF(COUNTIF(W23, "*ダメージUP（小）*"), W$16, IF(COUNTIF(W23,"*ダメージUP（中）*"), 10+W$16,0))/100</f>
        <v>0</v>
      </c>
      <c r="AA40">
        <f>IF(COUNTIF(AA23, "*ダメージUP（小）*"), AA$16, IF(COUNTIF(AA23,"*ダメージUP（中）*"), 10+AA$16,0))/100</f>
        <v>0</v>
      </c>
      <c r="AC40">
        <f>IF(COUNTIF(AC23, "*ダメージUP（小）*"), AC$16, IF(COUNTIF(AC23,"*ダメージUP（中）*"), 10+AC$16,0))/100</f>
        <v>0</v>
      </c>
    </row>
    <row r="41" spans="2:29">
      <c r="B41" s="8" t="s">
        <v>92</v>
      </c>
      <c r="C41" s="17">
        <f>SUM(C25:AD25)</f>
        <v>0</v>
      </c>
    </row>
    <row r="42" spans="2:29" ht="21" thickBot="1">
      <c r="B42" s="13" t="s">
        <v>93</v>
      </c>
      <c r="C42" s="18">
        <f>SUM(C26:AD26)</f>
        <v>0</v>
      </c>
    </row>
  </sheetData>
  <sheetProtection algorithmName="SHA-512" hashValue="LYJXo7VJJlTei1XhGpl1u6hiLvPlTPC9bfSTN774xMFXU6zFHPBM8ju7D55J+yB6NN/O8DLCn2yK+0eEamoolg==" saltValue="XroEgn50DLsTCrSmiWKiyw==" spinCount="100000" sheet="1" objects="1" scenarios="1"/>
  <mergeCells count="279">
    <mergeCell ref="M4:N4"/>
    <mergeCell ref="M5:N5"/>
    <mergeCell ref="S16:T16"/>
    <mergeCell ref="S17:T17"/>
    <mergeCell ref="AA20:AB20"/>
    <mergeCell ref="AC20:AD20"/>
    <mergeCell ref="AA21:AB21"/>
    <mergeCell ref="AC21:AD21"/>
    <mergeCell ref="AA22:AB22"/>
    <mergeCell ref="AC22:AD22"/>
    <mergeCell ref="O20:P20"/>
    <mergeCell ref="Q20:R20"/>
    <mergeCell ref="O21:P21"/>
    <mergeCell ref="Q21:R21"/>
    <mergeCell ref="O22:P22"/>
    <mergeCell ref="Q22:R22"/>
    <mergeCell ref="Y20:Z20"/>
    <mergeCell ref="Y21:Z21"/>
    <mergeCell ref="Y22:Z22"/>
    <mergeCell ref="S20:T20"/>
    <mergeCell ref="S21:T21"/>
    <mergeCell ref="U20:V20"/>
    <mergeCell ref="M17:N17"/>
    <mergeCell ref="M18:N18"/>
    <mergeCell ref="M19:N19"/>
    <mergeCell ref="M20:N20"/>
    <mergeCell ref="M21:N21"/>
    <mergeCell ref="M10:N10"/>
    <mergeCell ref="M11:N11"/>
    <mergeCell ref="M12:N12"/>
    <mergeCell ref="M13:N13"/>
    <mergeCell ref="M14:N14"/>
    <mergeCell ref="AC26:AD26"/>
    <mergeCell ref="S26:T26"/>
    <mergeCell ref="S22:T22"/>
    <mergeCell ref="S23:T23"/>
    <mergeCell ref="S24:T24"/>
    <mergeCell ref="S25:T25"/>
    <mergeCell ref="Y23:Z23"/>
    <mergeCell ref="Y24:Z24"/>
    <mergeCell ref="Y25:Z25"/>
    <mergeCell ref="Y26:Z26"/>
    <mergeCell ref="U25:X25"/>
    <mergeCell ref="U26:V26"/>
    <mergeCell ref="W26:X26"/>
    <mergeCell ref="AA26:AB26"/>
    <mergeCell ref="AA23:AB23"/>
    <mergeCell ref="AC23:AD23"/>
    <mergeCell ref="AC17:AD17"/>
    <mergeCell ref="AC15:AD15"/>
    <mergeCell ref="AC16:AD16"/>
    <mergeCell ref="AC12:AD12"/>
    <mergeCell ref="U2:V2"/>
    <mergeCell ref="W2:X2"/>
    <mergeCell ref="AA2:AB2"/>
    <mergeCell ref="AC2:AD2"/>
    <mergeCell ref="AA3:AB3"/>
    <mergeCell ref="AC3:AD3"/>
    <mergeCell ref="Y2:Z2"/>
    <mergeCell ref="W8:X8"/>
    <mergeCell ref="Y6:Z6"/>
    <mergeCell ref="Y7:Z7"/>
    <mergeCell ref="Y8:Z8"/>
    <mergeCell ref="Y9:Z9"/>
    <mergeCell ref="Y10:Z10"/>
    <mergeCell ref="W17:X17"/>
    <mergeCell ref="AA17:AB17"/>
    <mergeCell ref="Y17:Z17"/>
    <mergeCell ref="Y15:Z15"/>
    <mergeCell ref="AA15:AB15"/>
    <mergeCell ref="W14:X14"/>
    <mergeCell ref="W15:X15"/>
    <mergeCell ref="G4:H4"/>
    <mergeCell ref="G5:H5"/>
    <mergeCell ref="G6:H6"/>
    <mergeCell ref="G7:H7"/>
    <mergeCell ref="U17:V17"/>
    <mergeCell ref="M6:N6"/>
    <mergeCell ref="M7:N7"/>
    <mergeCell ref="M8:N8"/>
    <mergeCell ref="O17:P17"/>
    <mergeCell ref="Q17:R17"/>
    <mergeCell ref="M15:N15"/>
    <mergeCell ref="I14:J14"/>
    <mergeCell ref="K14:L14"/>
    <mergeCell ref="O14:P14"/>
    <mergeCell ref="Q14:R14"/>
    <mergeCell ref="G15:H15"/>
    <mergeCell ref="S14:T14"/>
    <mergeCell ref="S15:T15"/>
    <mergeCell ref="U14:V14"/>
    <mergeCell ref="U15:V15"/>
    <mergeCell ref="S4:T4"/>
    <mergeCell ref="S5:T5"/>
    <mergeCell ref="S6:T6"/>
    <mergeCell ref="M16:N16"/>
    <mergeCell ref="G22:H22"/>
    <mergeCell ref="G23:H23"/>
    <mergeCell ref="G24:H24"/>
    <mergeCell ref="AA18:AB18"/>
    <mergeCell ref="Y19:Z19"/>
    <mergeCell ref="M22:N22"/>
    <mergeCell ref="M23:N23"/>
    <mergeCell ref="AA25:AD25"/>
    <mergeCell ref="U19:V19"/>
    <mergeCell ref="W19:X19"/>
    <mergeCell ref="AA19:AB19"/>
    <mergeCell ref="AC19:AD19"/>
    <mergeCell ref="AC18:AD18"/>
    <mergeCell ref="W20:X20"/>
    <mergeCell ref="U21:V21"/>
    <mergeCell ref="W21:X21"/>
    <mergeCell ref="U22:V22"/>
    <mergeCell ref="W22:X22"/>
    <mergeCell ref="U23:V23"/>
    <mergeCell ref="W23:X23"/>
    <mergeCell ref="M24:N24"/>
    <mergeCell ref="M25:N25"/>
    <mergeCell ref="O23:P23"/>
    <mergeCell ref="Q23:R23"/>
    <mergeCell ref="C26:D26"/>
    <mergeCell ref="E26:F26"/>
    <mergeCell ref="I26:J26"/>
    <mergeCell ref="K26:L26"/>
    <mergeCell ref="O26:P26"/>
    <mergeCell ref="Q26:R26"/>
    <mergeCell ref="C25:F25"/>
    <mergeCell ref="I25:L25"/>
    <mergeCell ref="O25:R25"/>
    <mergeCell ref="G25:H25"/>
    <mergeCell ref="G26:H26"/>
    <mergeCell ref="M26:N26"/>
    <mergeCell ref="E18:F18"/>
    <mergeCell ref="I18:J18"/>
    <mergeCell ref="K18:L18"/>
    <mergeCell ref="O18:P18"/>
    <mergeCell ref="Q18:R18"/>
    <mergeCell ref="Y18:Z18"/>
    <mergeCell ref="G20:H20"/>
    <mergeCell ref="C19:D19"/>
    <mergeCell ref="E19:F19"/>
    <mergeCell ref="I19:J19"/>
    <mergeCell ref="K19:L19"/>
    <mergeCell ref="O19:P19"/>
    <mergeCell ref="Q19:R19"/>
    <mergeCell ref="G18:H18"/>
    <mergeCell ref="G19:H19"/>
    <mergeCell ref="S18:T18"/>
    <mergeCell ref="S19:T19"/>
    <mergeCell ref="U18:V18"/>
    <mergeCell ref="W18:X18"/>
    <mergeCell ref="C20:D20"/>
    <mergeCell ref="B20:B21"/>
    <mergeCell ref="B22:B23"/>
    <mergeCell ref="I20:J20"/>
    <mergeCell ref="K20:L20"/>
    <mergeCell ref="I21:J21"/>
    <mergeCell ref="K21:L21"/>
    <mergeCell ref="C17:D17"/>
    <mergeCell ref="E17:F17"/>
    <mergeCell ref="I17:J17"/>
    <mergeCell ref="K17:L17"/>
    <mergeCell ref="G21:H21"/>
    <mergeCell ref="G17:H17"/>
    <mergeCell ref="C21:D21"/>
    <mergeCell ref="E20:F20"/>
    <mergeCell ref="E21:F21"/>
    <mergeCell ref="C22:D22"/>
    <mergeCell ref="C23:D23"/>
    <mergeCell ref="E22:F22"/>
    <mergeCell ref="E23:F23"/>
    <mergeCell ref="I22:J22"/>
    <mergeCell ref="K22:L22"/>
    <mergeCell ref="I23:J23"/>
    <mergeCell ref="K23:L23"/>
    <mergeCell ref="C18:D18"/>
    <mergeCell ref="C16:D16"/>
    <mergeCell ref="E16:F16"/>
    <mergeCell ref="I16:J16"/>
    <mergeCell ref="K16:L16"/>
    <mergeCell ref="O16:P16"/>
    <mergeCell ref="Q16:R16"/>
    <mergeCell ref="U16:V16"/>
    <mergeCell ref="W16:X16"/>
    <mergeCell ref="AA16:AB16"/>
    <mergeCell ref="G16:H16"/>
    <mergeCell ref="Y16:Z16"/>
    <mergeCell ref="C15:D15"/>
    <mergeCell ref="E15:F15"/>
    <mergeCell ref="I15:J15"/>
    <mergeCell ref="K15:L15"/>
    <mergeCell ref="O15:P15"/>
    <mergeCell ref="C11:F11"/>
    <mergeCell ref="I11:L11"/>
    <mergeCell ref="O11:R11"/>
    <mergeCell ref="U11:X11"/>
    <mergeCell ref="Q15:R15"/>
    <mergeCell ref="AA11:AD11"/>
    <mergeCell ref="AA14:AB14"/>
    <mergeCell ref="AC14:AD14"/>
    <mergeCell ref="Y14:Z14"/>
    <mergeCell ref="C14:D14"/>
    <mergeCell ref="E14:F14"/>
    <mergeCell ref="G11:H11"/>
    <mergeCell ref="G12:H12"/>
    <mergeCell ref="G13:H13"/>
    <mergeCell ref="G14:H14"/>
    <mergeCell ref="S11:T11"/>
    <mergeCell ref="S12:T12"/>
    <mergeCell ref="Y11:Z11"/>
    <mergeCell ref="Y12:Z12"/>
    <mergeCell ref="W12:X12"/>
    <mergeCell ref="E13:F13"/>
    <mergeCell ref="K13:L13"/>
    <mergeCell ref="Q13:R13"/>
    <mergeCell ref="Y13:Z13"/>
    <mergeCell ref="W13:X13"/>
    <mergeCell ref="B12:B13"/>
    <mergeCell ref="E12:F12"/>
    <mergeCell ref="K12:L12"/>
    <mergeCell ref="AC13:AD13"/>
    <mergeCell ref="AC8:AD8"/>
    <mergeCell ref="C10:F10"/>
    <mergeCell ref="I10:L10"/>
    <mergeCell ref="O10:R10"/>
    <mergeCell ref="U10:X10"/>
    <mergeCell ref="AA10:AD10"/>
    <mergeCell ref="G8:H8"/>
    <mergeCell ref="E8:F8"/>
    <mergeCell ref="K8:L8"/>
    <mergeCell ref="Q8:R8"/>
    <mergeCell ref="B7:B8"/>
    <mergeCell ref="Q12:R12"/>
    <mergeCell ref="G9:H9"/>
    <mergeCell ref="G10:H10"/>
    <mergeCell ref="M9:N9"/>
    <mergeCell ref="K7:L7"/>
    <mergeCell ref="S8:T8"/>
    <mergeCell ref="S9:T9"/>
    <mergeCell ref="S10:T10"/>
    <mergeCell ref="S13:T13"/>
    <mergeCell ref="C5:F5"/>
    <mergeCell ref="I5:L5"/>
    <mergeCell ref="O5:R5"/>
    <mergeCell ref="U5:X5"/>
    <mergeCell ref="AA5:AD5"/>
    <mergeCell ref="M3:N3"/>
    <mergeCell ref="Q7:R7"/>
    <mergeCell ref="W7:X7"/>
    <mergeCell ref="AC7:AD7"/>
    <mergeCell ref="S7:T7"/>
    <mergeCell ref="C6:F6"/>
    <mergeCell ref="I6:L6"/>
    <mergeCell ref="O6:R6"/>
    <mergeCell ref="U6:X6"/>
    <mergeCell ref="AA6:AD6"/>
    <mergeCell ref="E7:F7"/>
    <mergeCell ref="Y4:Z4"/>
    <mergeCell ref="Y5:Z5"/>
    <mergeCell ref="C3:D3"/>
    <mergeCell ref="E3:F3"/>
    <mergeCell ref="I3:J3"/>
    <mergeCell ref="K3:L3"/>
    <mergeCell ref="O3:P3"/>
    <mergeCell ref="Q3:R3"/>
    <mergeCell ref="Y3:Z3"/>
    <mergeCell ref="C2:D2"/>
    <mergeCell ref="E2:F2"/>
    <mergeCell ref="I2:J2"/>
    <mergeCell ref="K2:L2"/>
    <mergeCell ref="O2:P2"/>
    <mergeCell ref="Q2:R2"/>
    <mergeCell ref="M2:N2"/>
    <mergeCell ref="U3:V3"/>
    <mergeCell ref="W3:X3"/>
    <mergeCell ref="G2:H2"/>
    <mergeCell ref="G3:H3"/>
    <mergeCell ref="S2:T2"/>
    <mergeCell ref="S3:T3"/>
  </mergeCells>
  <phoneticPr fontId="1"/>
  <dataValidations count="4">
    <dataValidation type="list" allowBlank="1" showInputMessage="1" showErrorMessage="1" sqref="I19:L19 O19:R19 C19:F19 U19:X19 AA19:AD19" xr:uid="{9A335521-ECC7-A349-860B-1D9068ACFC0F}">
      <formula1>"無属性,不利, 同属性, 有利"</formula1>
    </dataValidation>
    <dataValidation type="list" allowBlank="1" showInputMessage="1" showErrorMessage="1" sqref="D7:D8 P7:P8 V7:V8 J7:J8 AB7:AB8 D12:D13 J12:J13 P12:P13 V12:V13 AB12:AB13" xr:uid="{4BE80EB8-7E75-A045-93AD-2ABD1A347156}">
      <formula1>"-, 小, 中"</formula1>
    </dataValidation>
    <dataValidation type="list" errorStyle="information" allowBlank="1" showInputMessage="1" errorTitle="バフ名称は正しく記入してください。" error="名称が正しくない場合正確に計算されないことがあります。プルダウンにある書き方を参考にしてください。" sqref="C20:F21 I20:L21 O20:R21 U20:X21 AA20:AD21" xr:uid="{E9937AB7-7D1A-0A43-AED5-991E423412B1}">
      <formula1>"-, ATK UP（極小）, ATK UP（小）, ATK UP（中）, ATK UP（大）"</formula1>
    </dataValidation>
    <dataValidation type="list" errorStyle="information" allowBlank="1" showInputMessage="1" errorTitle="バフ名称は正しく記入してください。" error="名称が正しくない場合正確に計算されないことがあります。プルダウンにある書き方を参考にしてください。" sqref="C22:F23 I22:L23 O22:R23 U22:X23 AA22:AD23" xr:uid="{65611A84-6103-8442-A3BA-697107675D53}">
      <formula1>"-, ダメージUP（極小）, ダメージUP（小）, ダメージUP（中）, ダメージUP（大）"</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3B535241-1070-2F4A-86E6-DDE7D8148CF5}">
          <x14:formula1>
            <xm:f>キャラ・カード名一覧!$C$3:$C$12</xm:f>
          </x14:formula1>
          <xm:sqref>E3:F3 K3:L3 Q3:R3 W3:X3 AC3:AD3</xm:sqref>
        </x14:dataValidation>
        <x14:dataValidation type="list" allowBlank="1" showInputMessage="1" showErrorMessage="1" xr:uid="{C16725BC-C5C8-744E-90CA-7FC9F39315D0}">
          <x14:formula1>
            <xm:f>キャラ・カード名一覧!$B$3:$B$25</xm:f>
          </x14:formula1>
          <xm:sqref>C3:D3 I3:J3 O3:P3 U3:V3 AA3:AB3</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7</vt:i4>
      </vt:variant>
    </vt:vector>
  </HeadingPairs>
  <TitlesOfParts>
    <vt:vector size="7" baseType="lpstr">
      <vt:lpstr>使い方</vt:lpstr>
      <vt:lpstr>シミュレータ</vt:lpstr>
      <vt:lpstr>カード一覧</vt:lpstr>
      <vt:lpstr>カード詳細</vt:lpstr>
      <vt:lpstr>魔法一覧</vt:lpstr>
      <vt:lpstr>キャラ・カード名一覧</vt:lpstr>
      <vt:lpstr>シミュレータ (保護)</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中　村　　　　綾</dc:creator>
  <cp:lastModifiedBy>中　村　　　　綾</cp:lastModifiedBy>
  <dcterms:created xsi:type="dcterms:W3CDTF">2020-06-26T07:58:35Z</dcterms:created>
  <dcterms:modified xsi:type="dcterms:W3CDTF">2020-08-11T11:44:10Z</dcterms:modified>
</cp:coreProperties>
</file>